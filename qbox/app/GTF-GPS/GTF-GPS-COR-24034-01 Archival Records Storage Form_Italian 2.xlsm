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beciani\Desktop\GPS-COR\"/>
    </mc:Choice>
  </mc:AlternateContent>
  <xr:revisionPtr revIDLastSave="0" documentId="13_ncr:1_{7BA6975F-ED47-4280-9054-0C4BCAEBBA42}" xr6:coauthVersionLast="47" xr6:coauthVersionMax="47" xr10:uidLastSave="{00000000-0000-0000-0000-000000000000}"/>
  <bookViews>
    <workbookView xWindow="-108" yWindow="-108" windowWidth="23256" windowHeight="12576" xr2:uid="{00000000-000D-0000-FFFF-FFFF00000000}"/>
  </bookViews>
  <sheets>
    <sheet name="Modulo" sheetId="1" r:id="rId1"/>
    <sheet name="SLDataSheet" sheetId="3" state="veryHidden" r:id="rId2"/>
    <sheet name="Riferimento" sheetId="2" r:id="rId3"/>
  </sheets>
  <externalReferences>
    <externalReference r:id="rId4"/>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1" l="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3" i="1"/>
  <c r="M1" i="1"/>
  <c r="J99" i="2" l="1"/>
  <c r="J98" i="2"/>
  <c r="J97" i="2"/>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3" i="1"/>
  <c r="O4" i="1"/>
  <c r="P4" i="1" s="1"/>
  <c r="O5" i="1"/>
  <c r="P5" i="1" s="1"/>
  <c r="O6" i="1"/>
  <c r="P6" i="1" s="1"/>
  <c r="O7" i="1"/>
  <c r="P7" i="1" s="1"/>
  <c r="O8" i="1"/>
  <c r="P8" i="1" s="1"/>
  <c r="O9" i="1"/>
  <c r="P9" i="1" s="1"/>
  <c r="O10" i="1"/>
  <c r="P10" i="1" s="1"/>
  <c r="O11" i="1"/>
  <c r="P11" i="1" s="1"/>
  <c r="O12" i="1"/>
  <c r="P12" i="1" s="1"/>
  <c r="O13" i="1"/>
  <c r="P13" i="1" s="1"/>
  <c r="O14" i="1"/>
  <c r="P14" i="1" s="1"/>
  <c r="O15" i="1"/>
  <c r="P15" i="1" s="1"/>
  <c r="O16" i="1"/>
  <c r="P16" i="1" s="1"/>
  <c r="O17" i="1"/>
  <c r="P17" i="1" s="1"/>
  <c r="O18" i="1"/>
  <c r="P18" i="1" s="1"/>
  <c r="O19" i="1"/>
  <c r="P19" i="1" s="1"/>
  <c r="O20" i="1"/>
  <c r="P20" i="1" s="1"/>
  <c r="O21" i="1"/>
  <c r="P21" i="1" s="1"/>
  <c r="O22" i="1"/>
  <c r="P22" i="1" s="1"/>
  <c r="O23" i="1"/>
  <c r="P23" i="1" s="1"/>
  <c r="O24" i="1"/>
  <c r="P24" i="1" s="1"/>
  <c r="O25" i="1"/>
  <c r="P25" i="1" s="1"/>
  <c r="O26" i="1"/>
  <c r="P26" i="1" s="1"/>
  <c r="O27" i="1"/>
  <c r="P27" i="1" s="1"/>
  <c r="O28" i="1"/>
  <c r="P28" i="1" s="1"/>
  <c r="O29" i="1"/>
  <c r="P29" i="1" s="1"/>
  <c r="O30" i="1"/>
  <c r="P30" i="1" s="1"/>
  <c r="O31" i="1"/>
  <c r="P31" i="1" s="1"/>
  <c r="O32" i="1"/>
  <c r="P32" i="1" s="1"/>
  <c r="O33" i="1"/>
  <c r="P33" i="1" s="1"/>
  <c r="O34" i="1"/>
  <c r="P34" i="1" s="1"/>
  <c r="O35" i="1"/>
  <c r="P35" i="1" s="1"/>
  <c r="O36" i="1"/>
  <c r="P36" i="1" s="1"/>
  <c r="O37" i="1"/>
  <c r="P37" i="1" s="1"/>
  <c r="O38" i="1"/>
  <c r="P38" i="1" s="1"/>
  <c r="O39" i="1"/>
  <c r="P39" i="1" s="1"/>
  <c r="O40" i="1"/>
  <c r="P40" i="1" s="1"/>
  <c r="O41" i="1"/>
  <c r="P41" i="1" s="1"/>
  <c r="O42" i="1"/>
  <c r="P42" i="1" s="1"/>
  <c r="O43" i="1"/>
  <c r="P43" i="1" s="1"/>
  <c r="O44" i="1"/>
  <c r="P44" i="1" s="1"/>
  <c r="O45" i="1"/>
  <c r="P45" i="1" s="1"/>
  <c r="O46" i="1"/>
  <c r="P46" i="1" s="1"/>
  <c r="O47" i="1"/>
  <c r="P47" i="1" s="1"/>
  <c r="O48" i="1"/>
  <c r="P48" i="1" s="1"/>
  <c r="O49" i="1"/>
  <c r="P49" i="1" s="1"/>
  <c r="O50" i="1"/>
  <c r="P50" i="1" s="1"/>
  <c r="O51" i="1"/>
  <c r="P51" i="1" s="1"/>
  <c r="O52" i="1"/>
  <c r="P52" i="1" s="1"/>
  <c r="O53" i="1"/>
  <c r="P53" i="1" s="1"/>
  <c r="O54" i="1"/>
  <c r="P54" i="1" s="1"/>
  <c r="O55" i="1"/>
  <c r="P55" i="1" s="1"/>
  <c r="O3" i="1"/>
  <c r="P3" i="1" s="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Q2" i="2"/>
  <c r="F3" i="1"/>
  <c r="F4" i="1"/>
  <c r="G4" i="1"/>
  <c r="G5" i="1"/>
  <c r="G6" i="1"/>
  <c r="G7" i="1"/>
  <c r="G8" i="1"/>
  <c r="G9" i="1"/>
  <c r="G10" i="1"/>
  <c r="G11" i="1"/>
  <c r="G12" i="1"/>
  <c r="G13" i="1"/>
  <c r="G14" i="1"/>
  <c r="G15" i="1"/>
  <c r="G16" i="1"/>
  <c r="G17" i="1"/>
  <c r="G18" i="1"/>
  <c r="G19" i="1"/>
  <c r="G20" i="1"/>
  <c r="G21" i="1"/>
  <c r="G22" i="1"/>
  <c r="G23" i="1"/>
  <c r="G24" i="1"/>
  <c r="G25" i="1"/>
  <c r="G26" i="1"/>
  <c r="G3" i="1"/>
  <c r="M4" i="1"/>
  <c r="M5" i="1"/>
  <c r="M6" i="1"/>
  <c r="M7" i="1"/>
  <c r="M8" i="1"/>
  <c r="M9" i="1"/>
  <c r="M10" i="1"/>
  <c r="M11" i="1"/>
  <c r="M12" i="1"/>
  <c r="M13" i="1"/>
  <c r="M14" i="1"/>
  <c r="M15" i="1"/>
  <c r="M16" i="1"/>
  <c r="M17" i="1"/>
  <c r="M18" i="1"/>
  <c r="M19" i="1"/>
  <c r="M20" i="1"/>
  <c r="M21" i="1"/>
  <c r="M22" i="1"/>
  <c r="M23" i="1"/>
  <c r="M24" i="1"/>
  <c r="M25" i="1"/>
  <c r="M26" i="1"/>
  <c r="M3" i="1"/>
  <c r="F6" i="1"/>
  <c r="F7" i="1"/>
  <c r="F8" i="1"/>
  <c r="F9" i="1"/>
  <c r="F10" i="1"/>
  <c r="F11" i="1"/>
  <c r="F12" i="1"/>
  <c r="F13" i="1"/>
  <c r="F14" i="1"/>
  <c r="F15" i="1"/>
  <c r="F16" i="1"/>
  <c r="F17" i="1"/>
  <c r="F18" i="1"/>
  <c r="F19" i="1"/>
  <c r="F20" i="1"/>
  <c r="F21" i="1"/>
  <c r="F22" i="1"/>
  <c r="F23" i="1"/>
  <c r="F24" i="1"/>
  <c r="F25" i="1"/>
  <c r="F26" i="1"/>
  <c r="F5" i="1"/>
</calcChain>
</file>

<file path=xl/sharedStrings.xml><?xml version="1.0" encoding="utf-8"?>
<sst xmlns="http://schemas.openxmlformats.org/spreadsheetml/2006/main" count="1070" uniqueCount="556">
  <si>
    <t>GPS-COR-24033 Records Retention Schedule (RRS)</t>
  </si>
  <si>
    <t>Send Report to:</t>
  </si>
  <si>
    <t>Numero del box</t>
  </si>
  <si>
    <t>Città</t>
  </si>
  <si>
    <t>Nazione</t>
  </si>
  <si>
    <t>Gruppo / 
Dipartimento</t>
  </si>
  <si>
    <t>Codice archivio</t>
  </si>
  <si>
    <t>Periodo di conservazione</t>
  </si>
  <si>
    <t>Descrizione del codice archivio</t>
  </si>
  <si>
    <t>Data da</t>
  </si>
  <si>
    <t>Data a</t>
  </si>
  <si>
    <t>Progetto numero</t>
  </si>
  <si>
    <t>Nome del progetto</t>
  </si>
  <si>
    <t>Descrizione</t>
  </si>
  <si>
    <t>Riferimento di attivazione</t>
  </si>
  <si>
    <t>Data di attivazione</t>
  </si>
  <si>
    <t>Giorni di conservazione</t>
  </si>
  <si>
    <t>Data di distruzione</t>
  </si>
  <si>
    <t>Livello di sicurezza</t>
  </si>
  <si>
    <t>Numero di conto</t>
  </si>
  <si>
    <t>Posizione del magazzino</t>
  </si>
  <si>
    <t xml:space="preserve">Rome </t>
  </si>
  <si>
    <t>Functions</t>
  </si>
  <si>
    <t>Security Levels</t>
  </si>
  <si>
    <t>Record Series</t>
  </si>
  <si>
    <t>Retention Period</t>
  </si>
  <si>
    <t>Retention Trigger</t>
  </si>
  <si>
    <t>Retention Days</t>
  </si>
  <si>
    <t>Security Classifications</t>
  </si>
  <si>
    <t>Country</t>
  </si>
  <si>
    <t>City</t>
  </si>
  <si>
    <t>RIM Contact</t>
  </si>
  <si>
    <t xml:space="preserve">RIM Contact </t>
  </si>
  <si>
    <t>(select)</t>
  </si>
  <si>
    <t>Records.Information@technipenergies.com</t>
  </si>
  <si>
    <t>Administration</t>
  </si>
  <si>
    <t>Public</t>
  </si>
  <si>
    <t>ADM010</t>
  </si>
  <si>
    <t>Faciliites, Office Services, Building Access and Security</t>
  </si>
  <si>
    <t>6M</t>
  </si>
  <si>
    <t>Creation Date</t>
  </si>
  <si>
    <t>Confidential</t>
  </si>
  <si>
    <t>Australia</t>
  </si>
  <si>
    <t xml:space="preserve">A Coruña </t>
  </si>
  <si>
    <t>Spain</t>
  </si>
  <si>
    <t>Corporate</t>
  </si>
  <si>
    <t>General</t>
  </si>
  <si>
    <t>ADM010B</t>
  </si>
  <si>
    <t>Faciliites, Office Services, Building Access and Security-Russia, USA</t>
  </si>
  <si>
    <t>5Y</t>
  </si>
  <si>
    <t>Azerbaijan</t>
  </si>
  <si>
    <t xml:space="preserve">Aberdeen </t>
  </si>
  <si>
    <t>Scotland</t>
  </si>
  <si>
    <t>charlotte.harris@genesisenergies.com</t>
  </si>
  <si>
    <t>Finance, Acounting, Tax and Audit</t>
  </si>
  <si>
    <t>ADM020</t>
  </si>
  <si>
    <t>Facilities Management Maintenance</t>
  </si>
  <si>
    <t>EVT+10Y</t>
  </si>
  <si>
    <t>Life of Facility</t>
  </si>
  <si>
    <t>Brazil</t>
  </si>
  <si>
    <t>Abu Dhabi</t>
  </si>
  <si>
    <t>UAE</t>
  </si>
  <si>
    <t>diana.albukhari@technipenergies.com</t>
  </si>
  <si>
    <t>Health, Safety and Environment</t>
  </si>
  <si>
    <t>Highly Confidential</t>
  </si>
  <si>
    <t>ADM030</t>
  </si>
  <si>
    <t>Office Equipment Manuals</t>
  </si>
  <si>
    <t>Superseded/Obsolete</t>
  </si>
  <si>
    <t>China</t>
  </si>
  <si>
    <t>Al Khobar</t>
  </si>
  <si>
    <t>Saudi Arabia</t>
  </si>
  <si>
    <t>Human Resources</t>
  </si>
  <si>
    <t>ADM040</t>
  </si>
  <si>
    <t>Facility Security Videos and Camera Logs</t>
  </si>
  <si>
    <t>4W</t>
  </si>
  <si>
    <t>Colombia</t>
  </si>
  <si>
    <t xml:space="preserve">Atyrau </t>
  </si>
  <si>
    <t>Kazakhstan</t>
  </si>
  <si>
    <t>Information Technology</t>
  </si>
  <si>
    <t>ADM110</t>
  </si>
  <si>
    <t>Association Memberships</t>
  </si>
  <si>
    <t>England</t>
  </si>
  <si>
    <t>Baku</t>
  </si>
  <si>
    <t>Projects, Products and Services</t>
  </si>
  <si>
    <t>ADM120</t>
  </si>
  <si>
    <t>General Correspondence and Working Papers</t>
  </si>
  <si>
    <t>France</t>
  </si>
  <si>
    <t xml:space="preserve">Bangkok </t>
  </si>
  <si>
    <t>Thailand</t>
  </si>
  <si>
    <t>suchada.nakngam@technipenergies.com</t>
  </si>
  <si>
    <t>Sales and Marketing</t>
  </si>
  <si>
    <t>ADM130</t>
  </si>
  <si>
    <t>General Project Files</t>
  </si>
  <si>
    <t>EVT+5Y</t>
  </si>
  <si>
    <t>Project Closed</t>
  </si>
  <si>
    <t>Germany</t>
  </si>
  <si>
    <t xml:space="preserve">Barcelona </t>
  </si>
  <si>
    <t>ADM140</t>
  </si>
  <si>
    <t>General Reference and Research</t>
  </si>
  <si>
    <t>India</t>
  </si>
  <si>
    <t xml:space="preserve">Bogota </t>
  </si>
  <si>
    <t>JGuevara@tipiel.com.co</t>
  </si>
  <si>
    <t xml:space="preserve">ADM150  </t>
  </si>
  <si>
    <t>Operational Reports and Analysis</t>
  </si>
  <si>
    <t>Indonesia</t>
  </si>
  <si>
    <t xml:space="preserve">Boston </t>
  </si>
  <si>
    <t>USA</t>
  </si>
  <si>
    <t>judy.tully@technipenergies.com; john.sturgeon@technipenergies.com</t>
  </si>
  <si>
    <t>ADM210</t>
  </si>
  <si>
    <t>Vehicle Incident Records</t>
  </si>
  <si>
    <t>Issue Resolved</t>
  </si>
  <si>
    <t>Italy</t>
  </si>
  <si>
    <t>Caracas</t>
  </si>
  <si>
    <t>Venezuela</t>
  </si>
  <si>
    <t>luis.vasquez2@technipenergies.com</t>
  </si>
  <si>
    <t>ADM220</t>
  </si>
  <si>
    <t>Vehicle Ownership, Registration, Inspection, Use, Maintenance, and Repair Records</t>
  </si>
  <si>
    <t>Vehicle Sold</t>
  </si>
  <si>
    <t xml:space="preserve">Chennai </t>
  </si>
  <si>
    <t>vidyasagar.dopati@technipenergies.com</t>
  </si>
  <si>
    <t>ADM230</t>
  </si>
  <si>
    <t>Driver Logs and Vehicle Inspection Reports</t>
  </si>
  <si>
    <t>Malaysia</t>
  </si>
  <si>
    <t xml:space="preserve">Claremont </t>
  </si>
  <si>
    <t>lori.weaver@technipenergies.com; gary.keyser@technipenergies.com</t>
  </si>
  <si>
    <t>ADM310</t>
  </si>
  <si>
    <t>Emergency and Disaster Planning</t>
  </si>
  <si>
    <t>Mexico</t>
  </si>
  <si>
    <t>Dahej</t>
  </si>
  <si>
    <t>shalu.jain@technipenergies.com</t>
  </si>
  <si>
    <t>ADM320</t>
  </si>
  <si>
    <t>Strategic Planning</t>
  </si>
  <si>
    <t>Mozambique</t>
  </si>
  <si>
    <t>Doha</t>
  </si>
  <si>
    <t>Qatar</t>
  </si>
  <si>
    <t>arnold.delacruz@technipenergies.com</t>
  </si>
  <si>
    <t>ADM410</t>
  </si>
  <si>
    <t>Policies and Procedures</t>
  </si>
  <si>
    <t>Superseded</t>
  </si>
  <si>
    <t>Netherlands</t>
  </si>
  <si>
    <t xml:space="preserve">Frankfurt </t>
  </si>
  <si>
    <t>ADM420</t>
  </si>
  <si>
    <t>Departmental Processes</t>
  </si>
  <si>
    <t>Norway</t>
  </si>
  <si>
    <t xml:space="preserve">Ho Chi Minh City </t>
  </si>
  <si>
    <t>Vietnam</t>
  </si>
  <si>
    <t>COR010</t>
  </si>
  <si>
    <t>Closing Documents</t>
  </si>
  <si>
    <t>EVT+1Y</t>
  </si>
  <si>
    <t>Life of Company</t>
  </si>
  <si>
    <t xml:space="preserve">Houston </t>
  </si>
  <si>
    <t>COR020</t>
  </si>
  <si>
    <t>Documents from Prospects - Unconsummated</t>
  </si>
  <si>
    <t>EVT</t>
  </si>
  <si>
    <t>Decision Made</t>
  </si>
  <si>
    <t>Russia</t>
  </si>
  <si>
    <t xml:space="preserve">Jakarta </t>
  </si>
  <si>
    <t>Laila.Nurwahyunita@technipenergies.com; Julia.Hidayat@technipenergies.com; Danang.Damandjaja@technipenergies.com</t>
  </si>
  <si>
    <t>COR030</t>
  </si>
  <si>
    <t>Due Diligence Analysis - Consummated</t>
  </si>
  <si>
    <t>Deal Finalized</t>
  </si>
  <si>
    <t xml:space="preserve">Kuala Lumpur </t>
  </si>
  <si>
    <t>eimamazuinora.mohamedazin@technipenergies.com</t>
  </si>
  <si>
    <t>COR040</t>
  </si>
  <si>
    <t>Due Diligence Analysis - Unconsummated</t>
  </si>
  <si>
    <t xml:space="preserve">London </t>
  </si>
  <si>
    <t>maxine.mills@genesisenergies.com</t>
  </si>
  <si>
    <t>COR110</t>
  </si>
  <si>
    <t>Corporate Archives</t>
  </si>
  <si>
    <t>Singapore</t>
  </si>
  <si>
    <t xml:space="preserve">Lyon </t>
  </si>
  <si>
    <t>stephanie.dubois@technipenergies.com</t>
  </si>
  <si>
    <t>COR210</t>
  </si>
  <si>
    <t>Annual Reports to Shareholders</t>
  </si>
  <si>
    <t xml:space="preserve">Madrid </t>
  </si>
  <si>
    <t>COR220</t>
  </si>
  <si>
    <t>Board of Directors</t>
  </si>
  <si>
    <t xml:space="preserve">Maputo </t>
  </si>
  <si>
    <t>COR225</t>
  </si>
  <si>
    <t xml:space="preserve">Board of Directors' Evaluations </t>
  </si>
  <si>
    <t>Until Replaced</t>
  </si>
  <si>
    <t>Mexico City</t>
  </si>
  <si>
    <t>COR230</t>
  </si>
  <si>
    <t>Business Licenses and Permits</t>
  </si>
  <si>
    <t>Expiration/Superseded</t>
  </si>
  <si>
    <t xml:space="preserve">Milan </t>
  </si>
  <si>
    <t>COR230B</t>
  </si>
  <si>
    <t>Business Licenses and Permits-Norway, Russia</t>
  </si>
  <si>
    <t>Milton Keynes</t>
  </si>
  <si>
    <t>sophie.hoshemi@technipenergies.com</t>
  </si>
  <si>
    <t>COR240</t>
  </si>
  <si>
    <t>Corporate Compliance</t>
  </si>
  <si>
    <t>10Y</t>
  </si>
  <si>
    <t xml:space="preserve">Mumbai </t>
  </si>
  <si>
    <t>eknath.sawant@technipenergies.com</t>
  </si>
  <si>
    <t>COR250</t>
  </si>
  <si>
    <t>Governance Records</t>
  </si>
  <si>
    <t xml:space="preserve">New Delhi </t>
  </si>
  <si>
    <t>aarti.rawat@technipenergies.com</t>
  </si>
  <si>
    <t>COR260</t>
  </si>
  <si>
    <t>Proxy Statement and Voting Records</t>
  </si>
  <si>
    <t>Annual Meeting</t>
  </si>
  <si>
    <t xml:space="preserve">Noida  </t>
  </si>
  <si>
    <t>neenu.nayal@technipenergies.com</t>
  </si>
  <si>
    <t>COR270</t>
  </si>
  <si>
    <t>Shareholder Annual Meeting</t>
  </si>
  <si>
    <t>Oslo</t>
  </si>
  <si>
    <t>COR280</t>
  </si>
  <si>
    <t>Shareholder Stock Transactions</t>
  </si>
  <si>
    <t>7Y</t>
  </si>
  <si>
    <t xml:space="preserve">Paris </t>
  </si>
  <si>
    <t>FR-Paris-Archives@technipenergies.com</t>
  </si>
  <si>
    <t xml:space="preserve">FIN010 </t>
  </si>
  <si>
    <t>Accounts Payable, Receivables, Journal Vouchers and Cost Accounting</t>
  </si>
  <si>
    <t>Tax Year Closed</t>
  </si>
  <si>
    <t xml:space="preserve">Perth </t>
  </si>
  <si>
    <t>amanda.mcsweeney@technipenergies.com</t>
  </si>
  <si>
    <t>FIN020</t>
  </si>
  <si>
    <t>Capital Assets</t>
  </si>
  <si>
    <t>Disposal or Sale</t>
  </si>
  <si>
    <t xml:space="preserve">Rio de Janeiro </t>
  </si>
  <si>
    <t>eliane.cavalcanti@genesisenergies.com</t>
  </si>
  <si>
    <t>FIN030</t>
  </si>
  <si>
    <t>General Ledger &amp; Chart of Accounts</t>
  </si>
  <si>
    <t>FIN040</t>
  </si>
  <si>
    <t>Unclaimed Property</t>
  </si>
  <si>
    <t>Report Date</t>
  </si>
  <si>
    <t xml:space="preserve">Rotterdam / Hertogenbosch </t>
  </si>
  <si>
    <t>FIN110</t>
  </si>
  <si>
    <t>Internal, External and Vendor Audits</t>
  </si>
  <si>
    <t>Close of Audit</t>
  </si>
  <si>
    <t>Rouen</t>
  </si>
  <si>
    <t>FIN110B</t>
  </si>
  <si>
    <t>Internal, External and Vendor Audits-Russia</t>
  </si>
  <si>
    <t xml:space="preserve">Sens </t>
  </si>
  <si>
    <t>FIN210</t>
  </si>
  <si>
    <t>Banking Records</t>
  </si>
  <si>
    <t xml:space="preserve">Shanghai </t>
  </si>
  <si>
    <t xml:space="preserve">FIN220 </t>
  </si>
  <si>
    <t>Cash Management</t>
  </si>
  <si>
    <t xml:space="preserve">Singapore </t>
  </si>
  <si>
    <t>Republic of Singapore</t>
  </si>
  <si>
    <t>rozyta.jaffar@technipenergies.com</t>
  </si>
  <si>
    <t>FIN310</t>
  </si>
  <si>
    <t>Credit Files</t>
  </si>
  <si>
    <t>Guarantee Ceases</t>
  </si>
  <si>
    <t xml:space="preserve">St Petersburg </t>
  </si>
  <si>
    <t>Svetlana.Marulina@technipenergies.com</t>
  </si>
  <si>
    <t>FIN320</t>
  </si>
  <si>
    <t>Investments and Foreign Exchange</t>
  </si>
  <si>
    <t xml:space="preserve">Tarragona </t>
  </si>
  <si>
    <t>FIN330</t>
  </si>
  <si>
    <t>Investor Relations</t>
  </si>
  <si>
    <t xml:space="preserve">Zoetermeer </t>
  </si>
  <si>
    <t>jasper.dijkstra@technipenergies.com</t>
  </si>
  <si>
    <t>FIN410</t>
  </si>
  <si>
    <t>Consolidated Financial Statements (Year End)</t>
  </si>
  <si>
    <t>FIN420</t>
  </si>
  <si>
    <t>Corporate Budgets &amp; Financial Forecasting</t>
  </si>
  <si>
    <t>FIN420B</t>
  </si>
  <si>
    <t>Corporate Budgets &amp; Financial Forecasting-Russia</t>
  </si>
  <si>
    <t xml:space="preserve">FIN430 </t>
  </si>
  <si>
    <t>Department / Location Budgets</t>
  </si>
  <si>
    <t>FIN440</t>
  </si>
  <si>
    <t>Financial Reporting - SEC, NYSE and UK Publishing</t>
  </si>
  <si>
    <t>FIN450</t>
  </si>
  <si>
    <t>Financial Reports Required by Contracts</t>
  </si>
  <si>
    <t>E+6Y</t>
  </si>
  <si>
    <t>Termination of Contract</t>
  </si>
  <si>
    <t>FIN460</t>
  </si>
  <si>
    <t>Financial Reports to Management</t>
  </si>
  <si>
    <t>FIN460B</t>
  </si>
  <si>
    <t>Financial Reports to Management-Russia</t>
  </si>
  <si>
    <t>15Y</t>
  </si>
  <si>
    <t>FIN470</t>
  </si>
  <si>
    <t>Government Statistical Reporting</t>
  </si>
  <si>
    <t>FIN510</t>
  </si>
  <si>
    <t>Certificates of Insurance</t>
  </si>
  <si>
    <t>FIN520</t>
  </si>
  <si>
    <t>Insurance Bonds</t>
  </si>
  <si>
    <t>EVT+6Y</t>
  </si>
  <si>
    <t>Bond Expiration</t>
  </si>
  <si>
    <t>FIN530</t>
  </si>
  <si>
    <t>Insurance Policies</t>
  </si>
  <si>
    <t>FIN710</t>
  </si>
  <si>
    <t>Purchase Orders</t>
  </si>
  <si>
    <t>Closed</t>
  </si>
  <si>
    <t>FIN720</t>
  </si>
  <si>
    <t>Shipping and Receiving</t>
  </si>
  <si>
    <t>FIN730</t>
  </si>
  <si>
    <t>Vendor Selections and Bidding Documentation - Unsuccessful</t>
  </si>
  <si>
    <t>FIN810</t>
  </si>
  <si>
    <t>Product Inventory</t>
  </si>
  <si>
    <t>FIN820</t>
  </si>
  <si>
    <t>Product Pricing</t>
  </si>
  <si>
    <t>FIN910</t>
  </si>
  <si>
    <t>Compensation Tax Forms</t>
  </si>
  <si>
    <t>FIN920</t>
  </si>
  <si>
    <t>Tax -Payroll, Sales, and Other</t>
  </si>
  <si>
    <t xml:space="preserve">FIN930 </t>
  </si>
  <si>
    <t>Tax Audits -Foreign and Domestic</t>
  </si>
  <si>
    <t xml:space="preserve">FIN940 </t>
  </si>
  <si>
    <t>Tax Returns and Amendments</t>
  </si>
  <si>
    <t>FIN950</t>
  </si>
  <si>
    <t>Tax Strategy</t>
  </si>
  <si>
    <t>Until New Strategy Published</t>
  </si>
  <si>
    <t>HSE010</t>
  </si>
  <si>
    <t>Agency Correspondence</t>
  </si>
  <si>
    <t>HSE020</t>
  </si>
  <si>
    <t>Government Inspections - HSE</t>
  </si>
  <si>
    <t>HSE030</t>
  </si>
  <si>
    <t>HSE Internal Audits, Inspections, and Reports</t>
  </si>
  <si>
    <t>HSE040</t>
  </si>
  <si>
    <t>HSE Planning and Assessment</t>
  </si>
  <si>
    <t>HSE050</t>
  </si>
  <si>
    <t>Noncompliance Citations</t>
  </si>
  <si>
    <t>HSE110</t>
  </si>
  <si>
    <t>Environmental Monitoring</t>
  </si>
  <si>
    <t>HSE110B</t>
  </si>
  <si>
    <t>Environmental Monitoring-Malaysia, Russia</t>
  </si>
  <si>
    <t>IND</t>
  </si>
  <si>
    <t>HSE120</t>
  </si>
  <si>
    <t>Environmental Permits</t>
  </si>
  <si>
    <t>HSE120B</t>
  </si>
  <si>
    <t>Environmental Permits-Russia</t>
  </si>
  <si>
    <t>HSE130</t>
  </si>
  <si>
    <t>Air Emissions Testing Registers</t>
  </si>
  <si>
    <t>HSE130B</t>
  </si>
  <si>
    <t>Air Emissions Testing Registers-Egypt, Malaysia</t>
  </si>
  <si>
    <t>HSE140</t>
  </si>
  <si>
    <t>Environmental Remediation</t>
  </si>
  <si>
    <t>HSE140B</t>
  </si>
  <si>
    <t>Environmental Remediation-Americas</t>
  </si>
  <si>
    <t>50Y</t>
  </si>
  <si>
    <t>HSE150</t>
  </si>
  <si>
    <t>Incident Investigation Reports</t>
  </si>
  <si>
    <t>HSE150B</t>
  </si>
  <si>
    <t>Incident Investigation Reports-Vietnam</t>
  </si>
  <si>
    <t>Employee Termination</t>
  </si>
  <si>
    <t>HSE150C</t>
  </si>
  <si>
    <t>Incident Investigation Reports-Russia</t>
  </si>
  <si>
    <t>HSE210</t>
  </si>
  <si>
    <t>Noise and Vibration Exposure Monitoring and Testing</t>
  </si>
  <si>
    <t>HSE210B</t>
  </si>
  <si>
    <t>Noise and Vibration Exposure Monitoring and Testing-Americas, Malaysia</t>
  </si>
  <si>
    <t>EVT+30Y</t>
  </si>
  <si>
    <t>HSE210C</t>
  </si>
  <si>
    <t>Noise and Vibration Exposure Monitoring and Testing-Russia</t>
  </si>
  <si>
    <t>45Y</t>
  </si>
  <si>
    <t>HSE220</t>
  </si>
  <si>
    <t>Personnel Accident or Injury</t>
  </si>
  <si>
    <t>HSE220B</t>
  </si>
  <si>
    <t>Personnel Accident or Injury-Australia</t>
  </si>
  <si>
    <t>30Y</t>
  </si>
  <si>
    <t>HSE220C</t>
  </si>
  <si>
    <t>Personnel Accident or Injury-Russia</t>
  </si>
  <si>
    <t>75Y</t>
  </si>
  <si>
    <t>HSE220D</t>
  </si>
  <si>
    <t>Personnel Accident or Injury-Vietnam</t>
  </si>
  <si>
    <t>HSE230</t>
  </si>
  <si>
    <t>Occupational Accidents Involving Fatalities (Vietnam only)</t>
  </si>
  <si>
    <t>EVT+15Y</t>
  </si>
  <si>
    <t>Case Closed</t>
  </si>
  <si>
    <t>HSE240</t>
  </si>
  <si>
    <t>Process Safety Management</t>
  </si>
  <si>
    <t>HSE240B</t>
  </si>
  <si>
    <t>Process Safety Management-Australia, Malaysia</t>
  </si>
  <si>
    <t>HSE250</t>
  </si>
  <si>
    <t>Safety Meetings</t>
  </si>
  <si>
    <t>6Y</t>
  </si>
  <si>
    <t>HSE250B</t>
  </si>
  <si>
    <t>Safety Meetings-Malaysia, Russia</t>
  </si>
  <si>
    <t>HSE260</t>
  </si>
  <si>
    <t>Safety Compliance - Work Permits and Routine Safety Inspections</t>
  </si>
  <si>
    <t>HSE270</t>
  </si>
  <si>
    <t>Safety Cases – Offshore Installations, Vessels and Platforms</t>
  </si>
  <si>
    <t>EVT+7Y</t>
  </si>
  <si>
    <t>HSE280</t>
  </si>
  <si>
    <t>Safety Compliance – Confined Space Safety Tests (Trinidad only)</t>
  </si>
  <si>
    <t>HSE290</t>
  </si>
  <si>
    <t>Employee Hazardous Exposure Monitoring</t>
  </si>
  <si>
    <t>EVT+40Y</t>
  </si>
  <si>
    <t>HSE290B</t>
  </si>
  <si>
    <t>Employee Hazardous Exposure Monitoring-Norway</t>
  </si>
  <si>
    <t>EVT+60Y</t>
  </si>
  <si>
    <t>Until exposure has ceased</t>
  </si>
  <si>
    <t>HSE290C</t>
  </si>
  <si>
    <t>EVT+75Y</t>
  </si>
  <si>
    <t>HSE310</t>
  </si>
  <si>
    <t>Chemical Inventories and Lists</t>
  </si>
  <si>
    <t>HSE310B</t>
  </si>
  <si>
    <t>Chemical Inventories and Lists-Americas</t>
  </si>
  <si>
    <t>HSE320</t>
  </si>
  <si>
    <t>Hazardous Waste Disposal</t>
  </si>
  <si>
    <t>HSE320B</t>
  </si>
  <si>
    <t>Hazardous Waste Disposal-Russia</t>
  </si>
  <si>
    <t>HSE330</t>
  </si>
  <si>
    <t>Safety Data Sheets (SDS)</t>
  </si>
  <si>
    <t>Material Removed</t>
  </si>
  <si>
    <t>HR010</t>
  </si>
  <si>
    <t>Compensation and Benefits</t>
  </si>
  <si>
    <t>Benefits End and Tax Year Closed</t>
  </si>
  <si>
    <t>HR010B</t>
  </si>
  <si>
    <t>Compensation and Benefits-Germany, Russia</t>
  </si>
  <si>
    <t>HR010C</t>
  </si>
  <si>
    <t>Compensation and Benefits-Russia (pre-2003)</t>
  </si>
  <si>
    <t>HR010D</t>
  </si>
  <si>
    <t>Compensation and Benefits-Russia (post-2002)</t>
  </si>
  <si>
    <t>HR010E</t>
  </si>
  <si>
    <t>Compensation and Benefits-Australia</t>
  </si>
  <si>
    <t>HR010F</t>
  </si>
  <si>
    <t>Compensation and Benefits-Italy, UK</t>
  </si>
  <si>
    <t>HR010G</t>
  </si>
  <si>
    <t>Compensation and Benefits-Netherlands</t>
  </si>
  <si>
    <t>HR020</t>
  </si>
  <si>
    <t>Benefits and Salary Administration</t>
  </si>
  <si>
    <t>HR120</t>
  </si>
  <si>
    <t>Work Assignment and People Management</t>
  </si>
  <si>
    <t>HR120B</t>
  </si>
  <si>
    <t>Work Assignment and People Management-Brazil</t>
  </si>
  <si>
    <t>HR120C</t>
  </si>
  <si>
    <t>Work Assignment and People Management-Russia</t>
  </si>
  <si>
    <t>EVT+50Y</t>
  </si>
  <si>
    <t>HR120D</t>
  </si>
  <si>
    <t>Work Assignment and People Management-Italy, Poland</t>
  </si>
  <si>
    <t>HR120E</t>
  </si>
  <si>
    <t>Work Assignment and People Management-Germany, Norway</t>
  </si>
  <si>
    <t>HR120F</t>
  </si>
  <si>
    <t>Work Assignment and People Management-Germany (Arbeitszeugnis)</t>
  </si>
  <si>
    <t>EVT+6M</t>
  </si>
  <si>
    <t>HR130</t>
  </si>
  <si>
    <t>Unsuccessful Candidates (Employee Recruitment)</t>
  </si>
  <si>
    <t>1Y</t>
  </si>
  <si>
    <t>HR140</t>
  </si>
  <si>
    <t>Workforce Reporting</t>
  </si>
  <si>
    <t>HR210</t>
  </si>
  <si>
    <t>Drug and Alcohol Testing</t>
  </si>
  <si>
    <t>HR220</t>
  </si>
  <si>
    <t>Employee Medical File</t>
  </si>
  <si>
    <t>HR220B</t>
  </si>
  <si>
    <t>Employee Medical File-Brazil</t>
  </si>
  <si>
    <t>HR220C</t>
  </si>
  <si>
    <t>Employee Medical File-Saudi Arabia, UK</t>
  </si>
  <si>
    <t>HR310</t>
  </si>
  <si>
    <t>Employee Awards and Relations</t>
  </si>
  <si>
    <t>HR320</t>
  </si>
  <si>
    <t>Training Attendance Records</t>
  </si>
  <si>
    <t>HR330</t>
  </si>
  <si>
    <t>Training Materials</t>
  </si>
  <si>
    <t>IT010</t>
  </si>
  <si>
    <t>Electronic System Monitoring</t>
  </si>
  <si>
    <t>IT020</t>
  </si>
  <si>
    <t>Hardware Documentation</t>
  </si>
  <si>
    <t>Life of Equipment</t>
  </si>
  <si>
    <t>IT030</t>
  </si>
  <si>
    <t>Help Desk</t>
  </si>
  <si>
    <t>IT040</t>
  </si>
  <si>
    <t>Report Writers and Data Warehouses</t>
  </si>
  <si>
    <t>IT050</t>
  </si>
  <si>
    <t>System Backup Files</t>
  </si>
  <si>
    <t>MAX 1Y</t>
  </si>
  <si>
    <t>IT060</t>
  </si>
  <si>
    <t>System User Authorizations</t>
  </si>
  <si>
    <t>IT070</t>
  </si>
  <si>
    <t>IT Security and Compliance</t>
  </si>
  <si>
    <t>Activity Completed</t>
  </si>
  <si>
    <t>IT110</t>
  </si>
  <si>
    <t>Application Development and File Documentation</t>
  </si>
  <si>
    <t>Destruction of Associated Records</t>
  </si>
  <si>
    <t>IT120</t>
  </si>
  <si>
    <t>Software Programs</t>
  </si>
  <si>
    <t>IT130</t>
  </si>
  <si>
    <t>System Architecture Records</t>
  </si>
  <si>
    <t>EVT+3Y</t>
  </si>
  <si>
    <t>LGL010</t>
  </si>
  <si>
    <t>Litigation Case Files, Claims, Court Orders, Decrees, and Settlements</t>
  </si>
  <si>
    <t>LGL020</t>
  </si>
  <si>
    <t>Customer Complaint</t>
  </si>
  <si>
    <t>Resolved</t>
  </si>
  <si>
    <t>LGL030</t>
  </si>
  <si>
    <t>Internal Investigations</t>
  </si>
  <si>
    <t>LGL040</t>
  </si>
  <si>
    <t>Whistleblowing Records</t>
  </si>
  <si>
    <t>LGL040B</t>
  </si>
  <si>
    <t>Whistleblowing Records-Unsubstantiated-France, Germany, Italy, Netherlands, Norway, Poland, Spain, UK</t>
  </si>
  <si>
    <t>2M</t>
  </si>
  <si>
    <t>Resolution</t>
  </si>
  <si>
    <t>LGL110</t>
  </si>
  <si>
    <t>Contracts / Agreements - Customers, Vendors or Subcontractors</t>
  </si>
  <si>
    <t>Termination of Contract and Warranty</t>
  </si>
  <si>
    <t>LGL110B</t>
  </si>
  <si>
    <t>Contracts / Agreements - Customers, Vendors or Subcontractors-France</t>
  </si>
  <si>
    <t>LGL120</t>
  </si>
  <si>
    <t>Contracts / Agreements - General</t>
  </si>
  <si>
    <t>LGL130</t>
  </si>
  <si>
    <t>Legal and Regulatory Opinions</t>
  </si>
  <si>
    <t>LGL140</t>
  </si>
  <si>
    <t>Real Property</t>
  </si>
  <si>
    <t>Property Obligation Ceases</t>
  </si>
  <si>
    <t>LGL140B</t>
  </si>
  <si>
    <t>Real Property-Russia</t>
  </si>
  <si>
    <t>LGL210</t>
  </si>
  <si>
    <t>Legislative and Regulatory Activities</t>
  </si>
  <si>
    <t>LGL220</t>
  </si>
  <si>
    <t>Political Action Committees</t>
  </si>
  <si>
    <t>LGL230</t>
  </si>
  <si>
    <t>Regulatory Correspondence</t>
  </si>
  <si>
    <t>LGL310</t>
  </si>
  <si>
    <t>Intellectual Property - Patents, Copyrights and Trademarks</t>
  </si>
  <si>
    <t>LGL310B</t>
  </si>
  <si>
    <t>Intellectual Property - Patents, Copyrights and Trademarks-Russia</t>
  </si>
  <si>
    <t>LGL410</t>
  </si>
  <si>
    <t>Disposition and Destruction Documentation</t>
  </si>
  <si>
    <t>LGL420</t>
  </si>
  <si>
    <t>Records Indices</t>
  </si>
  <si>
    <t>PRJ010</t>
  </si>
  <si>
    <t>Engineering Administration</t>
  </si>
  <si>
    <t>PRJ020</t>
  </si>
  <si>
    <t>Engineering Design Records</t>
  </si>
  <si>
    <t>Project and Warranty Closed</t>
  </si>
  <si>
    <t>PRJ030</t>
  </si>
  <si>
    <t>Equipment and Instrument Maintenance and Testing</t>
  </si>
  <si>
    <t>PRJ040</t>
  </si>
  <si>
    <t>Manufacturing Records</t>
  </si>
  <si>
    <t>PRJ050</t>
  </si>
  <si>
    <t>Manufacturing Quality Control Reports and Reviews</t>
  </si>
  <si>
    <t>PRJ060</t>
  </si>
  <si>
    <t>Manufacturing Vendor / Subcontractor Documentation</t>
  </si>
  <si>
    <t>PRJ070</t>
  </si>
  <si>
    <t>Manufacturing Research and Development</t>
  </si>
  <si>
    <t>PRJ080</t>
  </si>
  <si>
    <t>Aftermarket, Support, and Service Project Documentation</t>
  </si>
  <si>
    <t>PRJ090</t>
  </si>
  <si>
    <t>Construction and Commissioning Records</t>
  </si>
  <si>
    <t>PRJ090B</t>
  </si>
  <si>
    <t>Construction and Commissioning Records-Russia</t>
  </si>
  <si>
    <t>EVT+20Y</t>
  </si>
  <si>
    <t>SMK010</t>
  </si>
  <si>
    <t>Advertising</t>
  </si>
  <si>
    <t>SMK020</t>
  </si>
  <si>
    <t>Company Publications</t>
  </si>
  <si>
    <t>Publication Date</t>
  </si>
  <si>
    <t>SMK030</t>
  </si>
  <si>
    <t>Public and Media Relations</t>
  </si>
  <si>
    <t>SMK040</t>
  </si>
  <si>
    <t>Charitable Giving</t>
  </si>
  <si>
    <t>SMK110</t>
  </si>
  <si>
    <t>Marketing Research and Planning</t>
  </si>
  <si>
    <t>SMK120</t>
  </si>
  <si>
    <t>Promotional Assets</t>
  </si>
  <si>
    <t>SMK210</t>
  </si>
  <si>
    <t>Project Proposals - Rejected</t>
  </si>
  <si>
    <t>Project Rejected</t>
  </si>
  <si>
    <t>SMK220</t>
  </si>
  <si>
    <t>Sales and Training Presentations</t>
  </si>
  <si>
    <t>archiviogenerale@ten.com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</si>
</sst>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d\-mmm\-yy;@"/>
  </numFmts>
  <fonts count="19" x14ac:knownFonts="1">
    <font>
      <sz val="11"/>
      <color theme="1"/>
      <name val="Calibri"/>
      <family val="2"/>
      <scheme val="minor"/>
    </font>
    <font>
      <sz val="11"/>
      <color theme="1"/>
      <name val="Arial"/>
      <family val="2"/>
    </font>
    <font>
      <b/>
      <sz val="9"/>
      <name val="Arial"/>
      <family val="2"/>
    </font>
    <font>
      <i/>
      <sz val="9"/>
      <name val="Arial"/>
      <family val="2"/>
    </font>
    <font>
      <sz val="9"/>
      <name val="Arial"/>
      <family val="2"/>
    </font>
    <font>
      <b/>
      <sz val="11"/>
      <color theme="1"/>
      <name val="Calibri"/>
      <family val="2"/>
      <scheme val="minor"/>
    </font>
    <font>
      <b/>
      <sz val="8"/>
      <color theme="1"/>
      <name val="Arial"/>
      <family val="2"/>
    </font>
    <font>
      <b/>
      <sz val="9"/>
      <color theme="1"/>
      <name val="Arial"/>
      <family val="2"/>
    </font>
    <font>
      <sz val="8"/>
      <color theme="1"/>
      <name val="Calibri"/>
      <family val="2"/>
      <scheme val="minor"/>
    </font>
    <font>
      <sz val="8"/>
      <name val="Arial"/>
      <family val="2"/>
    </font>
    <font>
      <sz val="8"/>
      <color theme="1"/>
      <name val="Arial"/>
      <family val="2"/>
    </font>
    <font>
      <b/>
      <sz val="8"/>
      <color theme="1"/>
      <name val="Calibri"/>
      <family val="2"/>
      <scheme val="minor"/>
    </font>
    <font>
      <sz val="11"/>
      <color rgb="FF000000"/>
      <name val="Calibri"/>
      <family val="2"/>
      <scheme val="minor"/>
    </font>
    <font>
      <sz val="11"/>
      <name val="Calibri"/>
      <family val="2"/>
      <scheme val="minor"/>
    </font>
    <font>
      <u/>
      <sz val="11"/>
      <color theme="10"/>
      <name val="Calibri"/>
      <family val="2"/>
      <scheme val="minor"/>
    </font>
    <font>
      <sz val="11"/>
      <color rgb="FF484644"/>
      <name val="Calibri"/>
      <family val="2"/>
      <scheme val="minor"/>
    </font>
    <font>
      <u/>
      <sz val="14"/>
      <color theme="10"/>
      <name val="Calibri"/>
      <family val="2"/>
      <scheme val="minor"/>
    </font>
    <font>
      <b/>
      <sz val="8"/>
      <color rgb="FF000000"/>
      <name val="Calibri"/>
      <family val="2"/>
      <scheme val="minor"/>
    </font>
    <font>
      <sz val="8"/>
      <color rgb="FF00000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D9D9D9"/>
        <bgColor rgb="FF000000"/>
      </patternFill>
    </fill>
  </fills>
  <borders count="9">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cellStyleXfs>
  <cellXfs count="55">
    <xf numFmtId="0" fontId="0" fillId="0" borderId="0" xfId="0"/>
    <xf numFmtId="0" fontId="1" fillId="0" borderId="0" xfId="0" applyFont="1"/>
    <xf numFmtId="0" fontId="3" fillId="0" borderId="1" xfId="0" applyFont="1" applyBorder="1" applyAlignment="1">
      <alignment horizontal="center" wrapText="1"/>
    </xf>
    <xf numFmtId="0" fontId="11"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8" fillId="0" borderId="0" xfId="0" applyFont="1" applyAlignment="1">
      <alignment horizontal="left" vertical="top"/>
    </xf>
    <xf numFmtId="0" fontId="6"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8" fillId="0" borderId="0" xfId="0" applyFont="1" applyAlignment="1">
      <alignment horizontal="left" vertical="top" wrapText="1"/>
    </xf>
    <xf numFmtId="0" fontId="11" fillId="3" borderId="0" xfId="0" applyFont="1" applyFill="1" applyAlignment="1">
      <alignment horizontal="left" vertical="top" wrapText="1"/>
    </xf>
    <xf numFmtId="0" fontId="11" fillId="3" borderId="0" xfId="0" applyFont="1" applyFill="1" applyAlignment="1">
      <alignment horizontal="left" vertical="top"/>
    </xf>
    <xf numFmtId="0" fontId="11" fillId="3" borderId="0" xfId="0" applyFont="1" applyFill="1" applyAlignment="1">
      <alignment horizontal="center" vertical="top"/>
    </xf>
    <xf numFmtId="0" fontId="11" fillId="3" borderId="0" xfId="0" applyFont="1" applyFill="1" applyAlignment="1">
      <alignment vertical="top"/>
    </xf>
    <xf numFmtId="0" fontId="8" fillId="0" borderId="0" xfId="0" applyFont="1" applyAlignment="1">
      <alignment horizontal="left"/>
    </xf>
    <xf numFmtId="0" fontId="8" fillId="0" borderId="0" xfId="0" applyFont="1" applyAlignment="1">
      <alignment horizontal="left" wrapText="1"/>
    </xf>
    <xf numFmtId="0" fontId="11" fillId="3" borderId="0" xfId="0" applyFont="1" applyFill="1" applyAlignment="1">
      <alignment vertical="top" wrapText="1"/>
    </xf>
    <xf numFmtId="0" fontId="3" fillId="0" borderId="1" xfId="0" applyFont="1" applyBorder="1" applyAlignment="1" applyProtection="1">
      <alignment horizontal="center" wrapText="1"/>
      <protection locked="0"/>
    </xf>
    <xf numFmtId="0" fontId="3" fillId="0" borderId="2" xfId="0" applyFont="1" applyBorder="1" applyAlignment="1" applyProtection="1">
      <alignment horizontal="center" wrapText="1"/>
      <protection locked="0"/>
    </xf>
    <xf numFmtId="0" fontId="1" fillId="0" borderId="2" xfId="0" applyFont="1" applyBorder="1" applyProtection="1">
      <protection locked="0"/>
    </xf>
    <xf numFmtId="0" fontId="2" fillId="2" borderId="6" xfId="0" applyFont="1" applyFill="1" applyBorder="1" applyAlignment="1" applyProtection="1">
      <alignment horizontal="center" vertical="center" wrapText="1"/>
      <protection locked="0"/>
    </xf>
    <xf numFmtId="0" fontId="2" fillId="2" borderId="5"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164" fontId="3" fillId="0" borderId="1" xfId="0" applyNumberFormat="1" applyFont="1" applyBorder="1" applyAlignment="1" applyProtection="1">
      <alignment horizontal="center" wrapText="1"/>
      <protection locked="0"/>
    </xf>
    <xf numFmtId="164" fontId="1" fillId="0" borderId="2" xfId="0" applyNumberFormat="1" applyFont="1" applyBorder="1" applyProtection="1">
      <protection locked="0"/>
    </xf>
    <xf numFmtId="0" fontId="11" fillId="0" borderId="0" xfId="0" applyFont="1" applyAlignment="1">
      <alignment horizontal="left"/>
    </xf>
    <xf numFmtId="0" fontId="12" fillId="0" borderId="0" xfId="0" applyFont="1" applyAlignment="1">
      <alignment vertical="center"/>
    </xf>
    <xf numFmtId="0" fontId="12" fillId="0" borderId="0" xfId="0" applyFont="1"/>
    <xf numFmtId="0" fontId="15" fillId="0" borderId="0" xfId="0" applyFont="1"/>
    <xf numFmtId="164" fontId="1" fillId="0" borderId="1" xfId="0" applyNumberFormat="1" applyFont="1" applyBorder="1" applyProtection="1">
      <protection locked="0"/>
    </xf>
    <xf numFmtId="0" fontId="7" fillId="4" borderId="3" xfId="0" applyFont="1" applyFill="1" applyBorder="1" applyAlignment="1" applyProtection="1">
      <alignment horizontal="center" vertical="center" wrapText="1"/>
      <protection locked="0"/>
    </xf>
    <xf numFmtId="0" fontId="4" fillId="5" borderId="1" xfId="0" applyFont="1" applyFill="1" applyBorder="1" applyAlignment="1" applyProtection="1">
      <alignment horizontal="center" vertical="center" wrapText="1"/>
      <protection locked="0"/>
    </xf>
    <xf numFmtId="0" fontId="1" fillId="5" borderId="2" xfId="0" applyFont="1" applyFill="1" applyBorder="1" applyProtection="1">
      <protection locked="0"/>
    </xf>
    <xf numFmtId="0" fontId="5" fillId="3" borderId="0" xfId="0" applyFont="1" applyFill="1" applyAlignment="1">
      <alignment horizontal="left" vertical="top"/>
    </xf>
    <xf numFmtId="0" fontId="13" fillId="3" borderId="0" xfId="0" applyFont="1" applyFill="1" applyAlignment="1">
      <alignment horizontal="left" vertical="top"/>
    </xf>
    <xf numFmtId="0" fontId="17" fillId="6" borderId="0" xfId="0" applyFont="1" applyFill="1" applyAlignment="1">
      <alignment vertical="top" wrapText="1"/>
    </xf>
    <xf numFmtId="0" fontId="17" fillId="6" borderId="0" xfId="0" applyFont="1" applyFill="1" applyAlignment="1">
      <alignment horizontal="center" vertical="top"/>
    </xf>
    <xf numFmtId="0" fontId="18" fillId="0" borderId="0" xfId="0" applyFont="1" applyAlignment="1">
      <alignment horizontal="left" wrapText="1"/>
    </xf>
    <xf numFmtId="0" fontId="2" fillId="2" borderId="8" xfId="0" applyFont="1" applyFill="1" applyBorder="1" applyAlignment="1" applyProtection="1">
      <alignment horizontal="center" vertical="center" wrapText="1"/>
      <protection locked="0"/>
    </xf>
    <xf numFmtId="0" fontId="11" fillId="3" borderId="0" xfId="0" applyFont="1" applyFill="1" applyAlignment="1">
      <alignment horizontal="center" vertical="top" wrapText="1"/>
    </xf>
    <xf numFmtId="0" fontId="5" fillId="0" borderId="0" xfId="0" applyFont="1" applyAlignment="1">
      <alignment horizontal="left" vertical="top" wrapText="1"/>
    </xf>
    <xf numFmtId="1" fontId="3" fillId="0" borderId="1" xfId="0" applyNumberFormat="1" applyFont="1" applyBorder="1" applyAlignment="1">
      <alignment horizontal="center" wrapText="1"/>
    </xf>
    <xf numFmtId="164" fontId="3" fillId="0" borderId="1" xfId="0" applyNumberFormat="1" applyFont="1" applyBorder="1" applyAlignment="1">
      <alignment horizontal="center" wrapText="1"/>
    </xf>
    <xf numFmtId="0" fontId="14" fillId="0" borderId="0" xfId="1" applyFill="1"/>
    <xf numFmtId="0" fontId="0" fillId="0" borderId="0" xfId="0" applyAlignment="1">
      <alignment horizontal="left" vertical="center"/>
    </xf>
    <xf numFmtId="0" fontId="13" fillId="0" borderId="0" xfId="1" applyFont="1" applyFill="1"/>
    <xf numFmtId="0" fontId="13" fillId="0" borderId="0" xfId="0" applyFont="1"/>
    <xf numFmtId="0" fontId="12" fillId="0" borderId="0" xfId="0" applyFont="1" applyAlignment="1">
      <alignment wrapText="1"/>
    </xf>
    <xf numFmtId="1" fontId="12" fillId="0" borderId="0" xfId="0" applyNumberFormat="1" applyFont="1"/>
    <xf numFmtId="0" fontId="13" fillId="0" borderId="0" xfId="0" applyFont="1" applyAlignment="1">
      <alignment wrapText="1"/>
    </xf>
    <xf numFmtId="0" fontId="14" fillId="0" borderId="0" xfId="1"/>
    <xf numFmtId="0" fontId="0" fillId="0" borderId="7" xfId="0" applyBorder="1" applyAlignment="1">
      <alignment horizontal="left" vertical="center"/>
    </xf>
    <xf numFmtId="0" fontId="16" fillId="0" borderId="7" xfId="1" applyFont="1" applyBorder="1" applyAlignment="1" applyProtection="1">
      <alignment horizontal="left" vertical="center"/>
      <protection locked="0"/>
    </xf>
  </cellXfs>
  <cellStyles count="2">
    <cellStyle name="Hyperlink" xfId="1" builtinId="8"/>
    <cellStyle name="Normal" xfId="0" builtinId="0"/>
  </cellStyles>
  <dxfs count="12">
    <dxf>
      <fill>
        <patternFill>
          <bgColor theme="6" tint="0.59996337778862885"/>
        </patternFill>
      </fill>
    </dxf>
    <dxf>
      <fill>
        <patternFill>
          <bgColor theme="5" tint="0.59996337778862885"/>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6" tint="0.59996337778862885"/>
        </patternFill>
      </fill>
    </dxf>
    <dxf>
      <fill>
        <patternFill>
          <bgColor theme="5" tint="0.59996337778862885"/>
        </patternFill>
      </fill>
    </dxf>
    <dxf>
      <fill>
        <patternFill>
          <bgColor theme="6" tint="0.59996337778862885"/>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chnip.sharepoint.com/Users/bsuchma/TECHNIPFMC/TP%20Energies%20RIM%20-%20SpinCo%20-%20General/13-Policies%20and%20Procedures%20-%20ADM410/Retention%20Schedule%20Work%20Files/MappingRSCodes-SecurityClassifica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vot"/>
      <sheetName val="Sheet1"/>
      <sheetName val="Sheet2"/>
    </sheetNames>
    <sheetDataSet>
      <sheetData sheetId="0" refreshError="1"/>
      <sheetData sheetId="1" refreshError="1">
        <row r="1">
          <cell r="A1" t="str">
            <v>Retention Code (15009)</v>
          </cell>
          <cell r="B1" t="str">
            <v>Record Title</v>
          </cell>
          <cell r="C1" t="str">
            <v>Description</v>
          </cell>
          <cell r="D1" t="str">
            <v>Retention Period</v>
          </cell>
          <cell r="E1" t="str">
            <v>Retention Event</v>
          </cell>
          <cell r="F1" t="str">
            <v>TPUSA-ENG-AT-RM-002-3 Technip USA</v>
          </cell>
          <cell r="G1" t="str">
            <v>G270</v>
          </cell>
          <cell r="H1" t="str">
            <v>Securty Classification</v>
          </cell>
          <cell r="I1" t="str">
            <v>Records Owner</v>
          </cell>
          <cell r="J1" t="str">
            <v>Contact</v>
          </cell>
        </row>
        <row r="2">
          <cell r="A2" t="str">
            <v>ADM010</v>
          </cell>
          <cell r="B2" t="str">
            <v>Facilities, Office Services, Building Access and Security</v>
          </cell>
          <cell r="C2" t="str">
            <v xml:space="preserve">Records related to routine office and building services, site and facilities access, employee identification, and building security, including visitor logs, work orders and service requests. Retain for 5 years from date record was created. </v>
          </cell>
          <cell r="D2" t="str">
            <v>5Y</v>
          </cell>
          <cell r="E2" t="str">
            <v>Creation Date</v>
          </cell>
          <cell r="F2" t="str">
            <v>BOP1020, BOP1040</v>
          </cell>
          <cell r="G2" t="str">
            <v>010ADM,020ADM</v>
          </cell>
          <cell r="H2" t="str">
            <v>Confidential</v>
          </cell>
          <cell r="I2" t="str">
            <v>Facilities</v>
          </cell>
          <cell r="J2" t="str">
            <v>Vince Dziechciarz</v>
          </cell>
        </row>
        <row r="3">
          <cell r="A3" t="str">
            <v>ADM020</v>
          </cell>
          <cell r="B3" t="str">
            <v>Facilities Management and Maintenance</v>
          </cell>
          <cell r="C3" t="str">
            <v>Records related to building management and maintenance, including office repairs and furniture floor plans. Retain for 10 years after facility is sold. (Does not include routine building services; see ADM010.)</v>
          </cell>
          <cell r="D3" t="str">
            <v>EVT + 10Y</v>
          </cell>
          <cell r="E3" t="str">
            <v>Life of Facility</v>
          </cell>
          <cell r="F3" t="str">
            <v>ADM1010, FAC1000, FAC1010</v>
          </cell>
          <cell r="G3" t="str">
            <v>030ADM</v>
          </cell>
          <cell r="H3" t="str">
            <v>General</v>
          </cell>
          <cell r="I3" t="str">
            <v>Facilities</v>
          </cell>
          <cell r="J3" t="str">
            <v>John Link/Cathy Clark</v>
          </cell>
        </row>
        <row r="4">
          <cell r="A4" t="str">
            <v>ADM030</v>
          </cell>
          <cell r="B4" t="str">
            <v>Office Equipment Manuals</v>
          </cell>
          <cell r="C4" t="str">
            <v xml:space="preserve">Manuals, guides, handbooks, or other records related to the operation of office equipment, computers, software, and furniture. Retain until superseded or equipment becomes obsolete. (Does not include manufacturing equipment manuals; see HSE060.) </v>
          </cell>
          <cell r="D4" t="str">
            <v>EVT + 5Y</v>
          </cell>
          <cell r="E4" t="str">
            <v>Superseded /Obsolete</v>
          </cell>
          <cell r="F4" t="str">
            <v>Not clearly stated</v>
          </cell>
          <cell r="G4" t="str">
            <v>040ADM</v>
          </cell>
          <cell r="H4" t="str">
            <v>General</v>
          </cell>
          <cell r="I4" t="str">
            <v>Facilities/IDS</v>
          </cell>
          <cell r="J4" t="str">
            <v>Cathy Clark</v>
          </cell>
        </row>
        <row r="5">
          <cell r="A5" t="str">
            <v>ADM040</v>
          </cell>
          <cell r="B5" t="str">
            <v>Facility Security Videos and Camera Logs</v>
          </cell>
          <cell r="C5" t="str">
            <v>Records related to facility security including security videos and camera logs.  Retain for 4 weeks from date record was created.</v>
          </cell>
          <cell r="D5" t="str">
            <v>4W</v>
          </cell>
          <cell r="E5" t="str">
            <v>Creation Date</v>
          </cell>
          <cell r="F5"/>
          <cell r="G5"/>
          <cell r="H5" t="str">
            <v>Confidential</v>
          </cell>
          <cell r="I5" t="str">
            <v>Facilities/IDS</v>
          </cell>
          <cell r="J5" t="str">
            <v>Cathy Clark</v>
          </cell>
        </row>
        <row r="6">
          <cell r="A6" t="str">
            <v>ADM110</v>
          </cell>
          <cell r="B6" t="str">
            <v>Association Memberships</v>
          </cell>
          <cell r="C6" t="str">
            <v>Records related to participation in trade and industry associations and other groups, including organization bylaws, meeting minutes, correspondence, and participant notes.  Retain for 5 years from date record was created. (Information from the association belongs to the employee.)</v>
          </cell>
          <cell r="D6" t="str">
            <v>5Y</v>
          </cell>
          <cell r="E6" t="str">
            <v>Creation Date</v>
          </cell>
          <cell r="F6" t="str">
            <v>Not clearly stated</v>
          </cell>
          <cell r="G6" t="str">
            <v>110ADM</v>
          </cell>
          <cell r="H6" t="str">
            <v>Confidential</v>
          </cell>
          <cell r="I6" t="str">
            <v>HR</v>
          </cell>
          <cell r="J6" t="str">
            <v>Sidney Barrau</v>
          </cell>
        </row>
        <row r="7">
          <cell r="A7" t="str">
            <v>ADM120</v>
          </cell>
          <cell r="B7" t="str">
            <v xml:space="preserve">General Correspondence and Working Papers </v>
          </cell>
          <cell r="C7" t="str">
            <v xml:space="preserve">Routine or transitory correspondence and working papers not subject to independent retention requirements, including personal notebooks, calendars, and routine correspondence. Retain for 5 years from date record was created. </v>
          </cell>
          <cell r="D7" t="str">
            <v>5Y</v>
          </cell>
          <cell r="E7" t="str">
            <v>Creation Date</v>
          </cell>
          <cell r="F7" t="str">
            <v>Not clearly stated</v>
          </cell>
          <cell r="G7" t="str">
            <v>140ADM</v>
          </cell>
          <cell r="H7" t="str">
            <v>General</v>
          </cell>
        </row>
        <row r="8">
          <cell r="A8" t="str">
            <v>ADM130</v>
          </cell>
          <cell r="B8" t="str">
            <v>General Project Files</v>
          </cell>
          <cell r="C8" t="str">
            <v>Records related to internal projects not subject to independent retention requirements, including meeting minutes, attendance lists, budgets, agendas, and status reports. Retain for 5 years after project is completed. (Does not include R&amp;D projects; see PRJ070.)</v>
          </cell>
          <cell r="D8" t="str">
            <v>EVT + 5Y</v>
          </cell>
          <cell r="E8" t="str">
            <v>Project Closed</v>
          </cell>
          <cell r="F8" t="str">
            <v>ADM1000</v>
          </cell>
          <cell r="G8" t="str">
            <v>150ADM</v>
          </cell>
          <cell r="H8" t="str">
            <v>Confidential</v>
          </cell>
        </row>
        <row r="9">
          <cell r="A9" t="str">
            <v>ADM140</v>
          </cell>
          <cell r="B9" t="str">
            <v>General Reference and Research</v>
          </cell>
          <cell r="C9" t="str">
            <v>General reference and research information of ongoing relevance to work-related tasks, including reference files, on-line research, business contacts, business periodicals, press reports, etc. Retain for 5 years once the information is superseded or becomes obsolete.</v>
          </cell>
          <cell r="D9" t="str">
            <v>EVT + 5Y</v>
          </cell>
          <cell r="E9" t="str">
            <v>Superseded /Obsolete</v>
          </cell>
          <cell r="F9" t="str">
            <v>Not clearly stated</v>
          </cell>
          <cell r="G9" t="str">
            <v>160ADM</v>
          </cell>
          <cell r="H9" t="str">
            <v>General</v>
          </cell>
        </row>
        <row r="10">
          <cell r="A10" t="str">
            <v>ADM150</v>
          </cell>
          <cell r="B10" t="str">
            <v>Operational Reports and Analysis</v>
          </cell>
          <cell r="C10" t="str">
            <v xml:space="preserve">Reports to management on operational matters and related analysis. Retain for 5 years from date of report or analysis. (Does not include financial reports to management; see FIN460.) </v>
          </cell>
          <cell r="D10" t="str">
            <v>5Y</v>
          </cell>
          <cell r="E10" t="str">
            <v>Creation Date</v>
          </cell>
          <cell r="F10" t="str">
            <v>Not clearly stated</v>
          </cell>
          <cell r="G10" t="str">
            <v xml:space="preserve">170ADM  </v>
          </cell>
          <cell r="H10" t="str">
            <v>Confidential</v>
          </cell>
        </row>
        <row r="11">
          <cell r="A11" t="str">
            <v>ADM210</v>
          </cell>
          <cell r="B11" t="str">
            <v>Vehicle Incident Records</v>
          </cell>
          <cell r="C11" t="str">
            <v xml:space="preserve">Records documenting any type of accident, damage, or citations involving company-owned or leased vehicles, including accident reports. Retain for 5 years after issue resolved. </v>
          </cell>
          <cell r="D11" t="str">
            <v>EVT + 5Y</v>
          </cell>
          <cell r="E11" t="str">
            <v>Issue Resolved</v>
          </cell>
          <cell r="F11" t="str">
            <v>NA</v>
          </cell>
          <cell r="G11" t="str">
            <v>210ADM</v>
          </cell>
          <cell r="H11" t="str">
            <v>Highly Confidential</v>
          </cell>
          <cell r="I11" t="str">
            <v>Fleet</v>
          </cell>
          <cell r="J11" t="str">
            <v>Eugene Newcomer</v>
          </cell>
        </row>
        <row r="12">
          <cell r="A12" t="str">
            <v>ADM220</v>
          </cell>
          <cell r="B12" t="str">
            <v xml:space="preserve">Vehicle Ownership, Registration, Inspection, Use, Maintenance, and Repair Records </v>
          </cell>
          <cell r="C12" t="str">
            <v xml:space="preserve">Records related to the ownership and registration, inspection, use, maintenance, and repair of company-owned or leased vehicles, including dispatch logs and schedules, fuel records, repair history, and related documents. Retain for 5 years after vehicle is sold or lease terminates. </v>
          </cell>
          <cell r="D12" t="str">
            <v>EVT + 5Y</v>
          </cell>
          <cell r="E12" t="str">
            <v>Vehicle Sold</v>
          </cell>
          <cell r="F12" t="str">
            <v>BOP1000, LEG1110</v>
          </cell>
          <cell r="G12" t="str">
            <v>220ADM, 230ADM</v>
          </cell>
          <cell r="H12" t="str">
            <v>General</v>
          </cell>
          <cell r="I12" t="str">
            <v>Fleet</v>
          </cell>
          <cell r="J12" t="str">
            <v>Eugene Newcomer</v>
          </cell>
        </row>
        <row r="13">
          <cell r="A13" t="str">
            <v>ADM230</v>
          </cell>
          <cell r="B13" t="str">
            <v>Driver Logs and Vehicle Inspection Reports</v>
          </cell>
          <cell r="C13" t="str">
            <v>Records related to the hours of service and operation logs along with transportation regulator required permits and licenses.   Retain for 6 months from date record was created</v>
          </cell>
          <cell r="D13" t="str">
            <v>6M</v>
          </cell>
          <cell r="E13" t="str">
            <v>Creation Date</v>
          </cell>
          <cell r="F13"/>
          <cell r="G13"/>
          <cell r="H13" t="str">
            <v>Confidential</v>
          </cell>
        </row>
        <row r="14">
          <cell r="A14" t="str">
            <v>ADM310</v>
          </cell>
          <cell r="B14" t="str">
            <v>Emergency and Disaster Planning</v>
          </cell>
          <cell r="C14" t="str">
            <v>Records related to the protection and reestablishment of company operations in the event of an emergency or disaster, including plans, manuals, procedures, and contact lists. Retain for 10 years after plan has been superseded</v>
          </cell>
          <cell r="D14" t="str">
            <v>EVT + 10Y</v>
          </cell>
          <cell r="E14" t="str">
            <v>Superseded</v>
          </cell>
          <cell r="F14" t="str">
            <v>HSE1000</v>
          </cell>
          <cell r="G14" t="str">
            <v>310ADM</v>
          </cell>
          <cell r="H14" t="str">
            <v>Confidential</v>
          </cell>
          <cell r="I14" t="str">
            <v>HSE</v>
          </cell>
          <cell r="J14" t="str">
            <v>Vince Dziechciarz</v>
          </cell>
        </row>
        <row r="15">
          <cell r="A15" t="str">
            <v>ADM320</v>
          </cell>
          <cell r="B15" t="str">
            <v>Strategic Planning</v>
          </cell>
          <cell r="C15" t="str">
            <v>Strategic plans, marketing plans, and other forward-looking plans and analyses. Retain for 5 years from date record was created</v>
          </cell>
          <cell r="D15" t="str">
            <v xml:space="preserve">5Y </v>
          </cell>
          <cell r="E15" t="str">
            <v>Creation Date</v>
          </cell>
          <cell r="F15" t="str">
            <v>COR1030</v>
          </cell>
          <cell r="G15" t="str">
            <v>320ADM</v>
          </cell>
          <cell r="H15" t="str">
            <v>Confidential</v>
          </cell>
          <cell r="I15" t="str">
            <v>Communications</v>
          </cell>
          <cell r="J15" t="str">
            <v>Kyle Hoelscher</v>
          </cell>
        </row>
        <row r="16">
          <cell r="A16" t="str">
            <v>ADM410</v>
          </cell>
          <cell r="B16" t="str">
            <v xml:space="preserve">Policies and Procedures </v>
          </cell>
          <cell r="C16" t="str">
            <v xml:space="preserve">Corporate, facility and operating policies, guidelines, procedures, and directives, including financial, records management, HSE IT, human resources and other management system governance records. Retain for 10 years after superseded.  </v>
          </cell>
          <cell r="D16" t="str">
            <v xml:space="preserve">EVT + 10Y </v>
          </cell>
          <cell r="E16" t="str">
            <v>Superseded</v>
          </cell>
          <cell r="F16" t="str">
            <v>AUD1000</v>
          </cell>
          <cell r="G16" t="str">
            <v>410ADM</v>
          </cell>
          <cell r="H16" t="str">
            <v>General</v>
          </cell>
          <cell r="I16" t="str">
            <v>Quality</v>
          </cell>
          <cell r="J16" t="str">
            <v>Pamela Stevenson</v>
          </cell>
        </row>
        <row r="17">
          <cell r="A17" t="str">
            <v>ADM420</v>
          </cell>
          <cell r="B17" t="str">
            <v>Departmental Processes</v>
          </cell>
          <cell r="C17" t="str">
            <v>Policies, guidelines, procedures, or directives relating to departmental operations, including desk manuals. Retain for 5 years after superseded.</v>
          </cell>
          <cell r="D17" t="str">
            <v>EVT + 5Y</v>
          </cell>
          <cell r="E17" t="str">
            <v>Superseded/Obsolete</v>
          </cell>
          <cell r="F17" t="str">
            <v>AUD1000</v>
          </cell>
          <cell r="G17" t="str">
            <v>420ADM</v>
          </cell>
          <cell r="H17" t="str">
            <v>General</v>
          </cell>
          <cell r="I17" t="str">
            <v>Quality</v>
          </cell>
          <cell r="J17" t="str">
            <v>Pamela Stevenson</v>
          </cell>
        </row>
        <row r="18">
          <cell r="A18" t="str">
            <v>COR010</v>
          </cell>
          <cell r="B18" t="str">
            <v>Closing Documents</v>
          </cell>
          <cell r="C18" t="str">
            <v xml:space="preserve">All closing documents for consummated acquisitions, divestitures, joint ventures, or mergers, including purchase and sale agreements. Retain for 1 year after life of company. </v>
          </cell>
          <cell r="D18" t="str">
            <v>EVT + 1Y</v>
          </cell>
          <cell r="E18" t="str">
            <v>Life of Company</v>
          </cell>
          <cell r="F18" t="str">
            <v>LEG1080</v>
          </cell>
          <cell r="G18" t="str">
            <v>010COR</v>
          </cell>
          <cell r="H18" t="str">
            <v>Highly Confidential</v>
          </cell>
          <cell r="I18" t="str">
            <v>Legal</v>
          </cell>
          <cell r="J18" t="str">
            <v>Denis Parlant</v>
          </cell>
        </row>
        <row r="19">
          <cell r="A19" t="str">
            <v>COR020</v>
          </cell>
          <cell r="B19" t="str">
            <v xml:space="preserve">Documents from Prospects -Unconsummated </v>
          </cell>
          <cell r="C19" t="str">
            <v xml:space="preserve">Records received from prospects for potential acquisitions, divestitures, joint ventures, or mergers, including financial statements, asset reports, and product and sales information. Dispose of documents subject to contractual obligations to return or destroy documents. </v>
          </cell>
          <cell r="D19" t="str">
            <v>EVT</v>
          </cell>
          <cell r="E19" t="str">
            <v>Decision Made</v>
          </cell>
          <cell r="F19" t="str">
            <v>LEG1080</v>
          </cell>
          <cell r="G19" t="str">
            <v>020COR</v>
          </cell>
          <cell r="H19" t="str">
            <v>Highly Confidential</v>
          </cell>
          <cell r="I19" t="str">
            <v>Legal</v>
          </cell>
          <cell r="J19" t="str">
            <v>Denis Parlant</v>
          </cell>
        </row>
        <row r="20">
          <cell r="A20" t="str">
            <v>COR030</v>
          </cell>
          <cell r="B20" t="str">
            <v>Due Diligence Analysis -Consummated</v>
          </cell>
          <cell r="C20" t="str">
            <v xml:space="preserve">Records related to internal due diligence and analysis of company acquisitions, mergers, joint ventures, or divestitures, including documents from prospects. Retain for 10 years after deal is finalized. </v>
          </cell>
          <cell r="D20" t="str">
            <v>EVT + 10Y</v>
          </cell>
          <cell r="E20" t="str">
            <v>Deal Finalized</v>
          </cell>
          <cell r="F20" t="str">
            <v>LEG1080</v>
          </cell>
          <cell r="G20" t="str">
            <v>030COR</v>
          </cell>
          <cell r="H20" t="str">
            <v>Highly Confidential</v>
          </cell>
          <cell r="I20" t="str">
            <v>Legal</v>
          </cell>
          <cell r="J20" t="str">
            <v>Denis Parlant</v>
          </cell>
        </row>
        <row r="21">
          <cell r="A21" t="str">
            <v>COR040</v>
          </cell>
          <cell r="B21" t="str">
            <v>Due Diligence Analysis -Unconsummated</v>
          </cell>
          <cell r="C21" t="str">
            <v xml:space="preserve">Records related to internal due diligence and analysis of unconsummated aacquisitions, mergers, divestitures, or joint-ventures. Retain for 5 years after decision not to consummate. </v>
          </cell>
          <cell r="D21" t="str">
            <v>EVT + 5Y</v>
          </cell>
          <cell r="E21" t="str">
            <v>Decision Made</v>
          </cell>
          <cell r="F21" t="str">
            <v>LEG1080</v>
          </cell>
          <cell r="G21" t="str">
            <v>040COR</v>
          </cell>
          <cell r="H21" t="str">
            <v>Highly Confidential</v>
          </cell>
          <cell r="I21" t="str">
            <v>Legal</v>
          </cell>
          <cell r="J21" t="str">
            <v>Denis Parlant</v>
          </cell>
        </row>
        <row r="22">
          <cell r="A22" t="str">
            <v>COR110</v>
          </cell>
          <cell r="B22" t="str">
            <v>Corporate Archives</v>
          </cell>
          <cell r="C22" t="str">
            <v>Company records deemed to have long-term historical value, including photographs, video tapes, and awards. Retain for 1 year after life of company.</v>
          </cell>
          <cell r="D22" t="str">
            <v>EVT + 1Y</v>
          </cell>
          <cell r="E22" t="str">
            <v>Life of Company</v>
          </cell>
          <cell r="F22" t="str">
            <v>COR1010, REF1000</v>
          </cell>
          <cell r="G22" t="str">
            <v>110COR</v>
          </cell>
          <cell r="H22" t="str">
            <v>Confidential</v>
          </cell>
          <cell r="I22" t="str">
            <v>Legal</v>
          </cell>
          <cell r="J22" t="str">
            <v>Denis Parlant</v>
          </cell>
        </row>
        <row r="23">
          <cell r="A23" t="str">
            <v>COR210</v>
          </cell>
          <cell r="B23" t="str">
            <v>Annual Reports to Shareholders</v>
          </cell>
          <cell r="C23" t="str">
            <v>Annual reports submitted to company shareholders. Retain a limited number of reference copies for 1 year after life of company</v>
          </cell>
          <cell r="D23" t="str">
            <v>EVT + 1Y</v>
          </cell>
          <cell r="E23" t="str">
            <v>Life of Company</v>
          </cell>
          <cell r="F23" t="str">
            <v>COR1000</v>
          </cell>
          <cell r="G23" t="str">
            <v>210COR</v>
          </cell>
          <cell r="H23" t="str">
            <v>General</v>
          </cell>
          <cell r="I23" t="str">
            <v>Legal</v>
          </cell>
          <cell r="J23" t="str">
            <v>Denis Parlant</v>
          </cell>
        </row>
        <row r="24">
          <cell r="A24" t="str">
            <v>COR220</v>
          </cell>
          <cell r="B24" t="str">
            <v>Board of Directors</v>
          </cell>
          <cell r="C24" t="str">
            <v>Records documenting the work of the Board of Directors and board committees, including minutes, board committee charters, resolutions, and materials presented to the board. Retain for 1 year after life of company.</v>
          </cell>
          <cell r="D24" t="str">
            <v>EVT + 1Y</v>
          </cell>
          <cell r="E24" t="str">
            <v>Life of Company</v>
          </cell>
          <cell r="F24" t="str">
            <v>COR1000, COR1020</v>
          </cell>
          <cell r="G24" t="str">
            <v>220COR</v>
          </cell>
          <cell r="H24" t="str">
            <v>Highly Confidential</v>
          </cell>
          <cell r="I24" t="str">
            <v>Legal</v>
          </cell>
          <cell r="J24" t="str">
            <v>Denis Parlant</v>
          </cell>
        </row>
        <row r="25">
          <cell r="A25" t="str">
            <v>COR225</v>
          </cell>
          <cell r="B25" t="str">
            <v xml:space="preserve">Board of Directors' Evaluations </v>
          </cell>
          <cell r="C25" t="str">
            <v xml:space="preserve">Records documenting the individual self-evaluations and consolidation of the Board of Directors' self-evaluations. Retain for 5 years after replaced by the following year's consolidation report. </v>
          </cell>
          <cell r="D25" t="str">
            <v>EVT + 5Y</v>
          </cell>
          <cell r="E25" t="str">
            <v>Until Replaced</v>
          </cell>
          <cell r="F25" t="str">
            <v>COR1020</v>
          </cell>
          <cell r="G25" t="str">
            <v>225COR</v>
          </cell>
          <cell r="H25" t="str">
            <v>Highly Confidential</v>
          </cell>
          <cell r="I25" t="str">
            <v>Legal</v>
          </cell>
          <cell r="J25" t="str">
            <v>Denis Parlant</v>
          </cell>
        </row>
        <row r="26">
          <cell r="A26" t="str">
            <v>COR230</v>
          </cell>
          <cell r="B26" t="str">
            <v>Business Licenses and Permits</v>
          </cell>
          <cell r="C26" t="str">
            <v xml:space="preserve">Licenses, permits, certificates, and registrations required to do business in a given jurisdiction and related applications, including state, county, and local licenses and permits. Retain for 5 years from date license or permit expires or is superseded. </v>
          </cell>
          <cell r="D26" t="str">
            <v>EVT + 5Y</v>
          </cell>
          <cell r="E26" t="str">
            <v>Expiration / Superseded</v>
          </cell>
          <cell r="F26" t="str">
            <v>LEG1060</v>
          </cell>
          <cell r="G26" t="str">
            <v>230COR</v>
          </cell>
          <cell r="H26" t="str">
            <v>General</v>
          </cell>
          <cell r="I26" t="str">
            <v>Legal</v>
          </cell>
          <cell r="J26" t="str">
            <v>Denis Parlant</v>
          </cell>
        </row>
        <row r="27">
          <cell r="A27" t="str">
            <v>COR240</v>
          </cell>
          <cell r="B27" t="str">
            <v>Corporate Compliance</v>
          </cell>
          <cell r="C27" t="str">
            <v xml:space="preserve">Records demonstrating efforts to assure compliance with various laws, regulations, or ethical obligations, including compliance investigations and compliance training. Retain for 10 years from date of compliance document. (Does not include other types of training; see HR320, HR330, and HR340.) </v>
          </cell>
          <cell r="D27" t="str">
            <v>10Y</v>
          </cell>
          <cell r="E27" t="str">
            <v>Creation Date</v>
          </cell>
          <cell r="F27" t="str">
            <v>AFT1180, AUD1010, RSK1000</v>
          </cell>
          <cell r="G27" t="str">
            <v>240COR</v>
          </cell>
          <cell r="H27" t="str">
            <v>Highly Confidential</v>
          </cell>
          <cell r="I27" t="str">
            <v>Legal</v>
          </cell>
          <cell r="J27" t="str">
            <v>Denis Parlant</v>
          </cell>
        </row>
        <row r="28">
          <cell r="A28" t="str">
            <v>COR250</v>
          </cell>
          <cell r="B28" t="str">
            <v>Governance Records</v>
          </cell>
          <cell r="C28" t="str">
            <v>Records related to the formation of the corporation and its subsidiaries, including articles of incorporation, amendments, bylaws, and other organizational documents. Retain for 1 year after life of company.</v>
          </cell>
          <cell r="D28" t="str">
            <v>EVT + 1Y</v>
          </cell>
          <cell r="E28" t="str">
            <v>Life of Company</v>
          </cell>
          <cell r="F28" t="str">
            <v>COR1010, REF1000</v>
          </cell>
          <cell r="G28" t="str">
            <v>250COR</v>
          </cell>
          <cell r="H28" t="str">
            <v>Confidential</v>
          </cell>
          <cell r="I28" t="str">
            <v>Legal</v>
          </cell>
          <cell r="J28" t="str">
            <v>Denis Parlant</v>
          </cell>
        </row>
        <row r="29">
          <cell r="A29" t="str">
            <v>COR260</v>
          </cell>
          <cell r="B29" t="str">
            <v>Proxy Statement and Voting Records </v>
          </cell>
          <cell r="C29" t="str">
            <v xml:space="preserve">Stockholder voting records, proxy statements, and other records documenting the collection and tabulation of shareholder votes. </v>
          </cell>
          <cell r="D29" t="str">
            <v>EVT + 5Y  </v>
          </cell>
          <cell r="E29" t="str">
            <v>Annual Meeting</v>
          </cell>
          <cell r="F29" t="str">
            <v>Not clearly stated</v>
          </cell>
          <cell r="G29" t="str">
            <v>260COR</v>
          </cell>
          <cell r="H29" t="str">
            <v>Confidential</v>
          </cell>
          <cell r="I29" t="str">
            <v>Legal</v>
          </cell>
          <cell r="J29" t="str">
            <v>Denis Parlant</v>
          </cell>
        </row>
        <row r="30">
          <cell r="A30" t="str">
            <v>COR270</v>
          </cell>
          <cell r="B30" t="str">
            <v>Shareholder Annual Meeting</v>
          </cell>
          <cell r="C30" t="str">
            <v xml:space="preserve">Records documenting annual shareholder meeting, including minutes, resolutions, and presentations. Retain for 1 year after life of company. (Does not include proxy statements and voting records; see COR 260.) </v>
          </cell>
          <cell r="D30" t="str">
            <v>EVT + 1Y</v>
          </cell>
          <cell r="E30" t="str">
            <v>Life of Company</v>
          </cell>
          <cell r="F30" t="str">
            <v>COR1000</v>
          </cell>
          <cell r="G30" t="str">
            <v>270COR</v>
          </cell>
          <cell r="H30" t="str">
            <v>General</v>
          </cell>
          <cell r="I30" t="str">
            <v>Legal</v>
          </cell>
          <cell r="J30" t="str">
            <v>Denis Parlant</v>
          </cell>
        </row>
        <row r="31">
          <cell r="A31" t="str">
            <v>COR280</v>
          </cell>
          <cell r="B31" t="str">
            <v>Shareholder Stock Transactions</v>
          </cell>
          <cell r="C31" t="str">
            <v xml:space="preserve">Records related to shareholder stock transactions, including documents evidencing transfers of ownership, stock splits, or cancellation of stock certificates. Retain for 7 years from date record created. </v>
          </cell>
          <cell r="D31" t="str">
            <v>7Y</v>
          </cell>
          <cell r="E31" t="str">
            <v>Creation Date</v>
          </cell>
          <cell r="F31" t="str">
            <v>NA</v>
          </cell>
          <cell r="G31" t="str">
            <v>280COR</v>
          </cell>
          <cell r="H31" t="str">
            <v>Confidential</v>
          </cell>
          <cell r="I31" t="str">
            <v>Legal</v>
          </cell>
          <cell r="J31" t="str">
            <v>Denis Parlant</v>
          </cell>
        </row>
        <row r="32">
          <cell r="A32" t="str">
            <v>FIN010</v>
          </cell>
          <cell r="B32" t="str">
            <v>Accounts Payable, Receivables, Journal Vouchers and Cost Accounting</v>
          </cell>
          <cell r="C32" t="str">
            <v xml:space="preserve">Records related to the payment for goods and services, including invoices, check requests, cash disbursements, purchasing cards, expense reports, credit cards, and petty cash. Records related to money received for goods and services provided by the company and payment of such charges, including customer or sales invoices, sales receipts, aged trial balances, and debt write-offs.  General journal and ledger entries, including vouchers generated in payables and receivables and capital vouchers generated in conjunction with the acquisition, depreciation, or transfer of assets  Retain for 10 years after tax year closes or until notified by the Tax Department of tax clearance. </v>
          </cell>
          <cell r="D32" t="str">
            <v>EVT + 10Y</v>
          </cell>
          <cell r="E32" t="str">
            <v>Tax Year Closed</v>
          </cell>
          <cell r="F32" t="str">
            <v>AFT1000, AFT1040, AFT1050, AFT1060, AFT1070, INS1070</v>
          </cell>
          <cell r="G32" t="str">
            <v>FIN 010, FIN 020, FIN 030,  FIN 070</v>
          </cell>
          <cell r="H32" t="str">
            <v>Confidential</v>
          </cell>
          <cell r="I32" t="str">
            <v>Finance</v>
          </cell>
          <cell r="J32" t="str">
            <v>Katherine Cao</v>
          </cell>
        </row>
        <row r="33">
          <cell r="A33" t="str">
            <v>FIN020</v>
          </cell>
          <cell r="B33" t="str">
            <v>Capital Assets</v>
          </cell>
          <cell r="C33" t="str">
            <v xml:space="preserve">Records documenting the acquisition, transfer, disposition, abandonment, and depreciation of capital assets, including AFE’s, equipment inventory, and fixed asset binder. Retain for 10 years after sale or disposition of asset. </v>
          </cell>
          <cell r="D33" t="str">
            <v>EVT + 10Y</v>
          </cell>
          <cell r="E33" t="str">
            <v>Disposal or Sale</v>
          </cell>
          <cell r="F33" t="str">
            <v>AFT1150</v>
          </cell>
          <cell r="G33" t="str">
            <v>FIN  040</v>
          </cell>
          <cell r="H33" t="str">
            <v>Confidential</v>
          </cell>
          <cell r="I33" t="str">
            <v>Finance</v>
          </cell>
          <cell r="J33" t="str">
            <v>Katherine Cao</v>
          </cell>
        </row>
        <row r="34">
          <cell r="A34" t="str">
            <v>FIN030</v>
          </cell>
          <cell r="B34" t="str">
            <v xml:space="preserve"> General Ledger and Chart of Accounts</v>
          </cell>
          <cell r="C34" t="str">
            <v>General ledger recording summary of all financial transactions, including the lists of internal account numbers, descriptions, and codes used in accounting system. Retain for 1 year after life of company.</v>
          </cell>
          <cell r="D34" t="str">
            <v>EVT + 1Y</v>
          </cell>
          <cell r="E34" t="str">
            <v>Life of Company</v>
          </cell>
          <cell r="F34" t="str">
            <v>AFT1010</v>
          </cell>
          <cell r="G34" t="str">
            <v>FIN 060</v>
          </cell>
          <cell r="H34" t="str">
            <v>Confidential</v>
          </cell>
          <cell r="I34" t="str">
            <v>Finance</v>
          </cell>
          <cell r="J34" t="str">
            <v>Katherine Cao</v>
          </cell>
        </row>
        <row r="35">
          <cell r="A35" t="str">
            <v>FIN040</v>
          </cell>
          <cell r="B35" t="str">
            <v xml:space="preserve"> Unclaimed Property</v>
          </cell>
          <cell r="C35" t="str">
            <v xml:space="preserve">Records related to the money escheated to the state for unclaimed property. Retain for 10 years. </v>
          </cell>
          <cell r="D35" t="str">
            <v>10Y</v>
          </cell>
          <cell r="E35" t="str">
            <v>Report Date</v>
          </cell>
          <cell r="F35" t="str">
            <v>LEG1030</v>
          </cell>
          <cell r="G35" t="str">
            <v>FIN 080</v>
          </cell>
          <cell r="H35" t="str">
            <v>Confidential</v>
          </cell>
          <cell r="I35" t="str">
            <v>Finance</v>
          </cell>
          <cell r="J35" t="str">
            <v>Katherine Cao</v>
          </cell>
        </row>
        <row r="36">
          <cell r="A36" t="str">
            <v>FIN110</v>
          </cell>
          <cell r="B36" t="str">
            <v>Internal, External and Vendor Audits</v>
          </cell>
          <cell r="C36" t="str">
            <v xml:space="preserve">Audits of the company done by external accounting firms, government agencies, or other parties, including reports and work papers. Records related to internal business processes and vendors for financial audits or product quality audits, including reports, letters, and supporting work papers.  Retain until the later of 10 years after close of Audit or notification by the Tax Department of tax clearance. (Does not include HSE audits; see HSE020.) </v>
          </cell>
          <cell r="D36" t="str">
            <v>EVT + 10Y</v>
          </cell>
          <cell r="E36" t="str">
            <v>Close of Audit</v>
          </cell>
          <cell r="F36" t="str">
            <v>AFT1170, AUD1020, AUD1030, LEG1120</v>
          </cell>
          <cell r="G36" t="str">
            <v>FIN 110, FIN 120</v>
          </cell>
          <cell r="H36" t="str">
            <v>Confidential</v>
          </cell>
          <cell r="I36" t="str">
            <v>Finance</v>
          </cell>
          <cell r="J36" t="str">
            <v>Katherine Cao</v>
          </cell>
        </row>
        <row r="37">
          <cell r="A37" t="str">
            <v>FIN210</v>
          </cell>
          <cell r="B37" t="str">
            <v>Banking Records</v>
          </cell>
          <cell r="C37" t="str">
            <v xml:space="preserve">Records related to banking activities, including bank statements, deposit receipts, reconciliations, cancelled checks, and other banking records. Retain for 10 years from date record created. </v>
          </cell>
          <cell r="D37" t="str">
            <v>10 Y</v>
          </cell>
          <cell r="E37" t="str">
            <v>Creation Date</v>
          </cell>
          <cell r="F37" t="str">
            <v>AFT1080, AFT1090, AFT1100</v>
          </cell>
          <cell r="G37" t="str">
            <v>FIN 210</v>
          </cell>
          <cell r="H37" t="str">
            <v>Highly Confidential</v>
          </cell>
          <cell r="I37" t="str">
            <v>Finance</v>
          </cell>
          <cell r="J37" t="str">
            <v>Katherine Cao</v>
          </cell>
        </row>
        <row r="38">
          <cell r="A38" t="str">
            <v>FIN220</v>
          </cell>
          <cell r="B38" t="str">
            <v xml:space="preserve"> Cash Management</v>
          </cell>
          <cell r="C38" t="str">
            <v xml:space="preserve">Records related to daily cash flow, including cash reports, cash ledgers, check notices, daily cash worksheet, check registers, check stubs, and wire transfers. Retain for 10 years after tax year closes or until notified by the Tax Department of tax clearance. </v>
          </cell>
          <cell r="D38" t="str">
            <v>EVT + 10Y</v>
          </cell>
          <cell r="E38" t="str">
            <v>Tax Year Closed</v>
          </cell>
          <cell r="F38" t="str">
            <v>NA</v>
          </cell>
          <cell r="G38" t="str">
            <v>FIN 220</v>
          </cell>
          <cell r="H38" t="str">
            <v>Confidential</v>
          </cell>
          <cell r="I38" t="str">
            <v>Finance</v>
          </cell>
          <cell r="J38" t="str">
            <v>Katherine Cao</v>
          </cell>
        </row>
        <row r="39">
          <cell r="A39" t="str">
            <v>FIN310</v>
          </cell>
          <cell r="B39" t="str">
            <v>Credit Files</v>
          </cell>
          <cell r="C39" t="str">
            <v xml:space="preserve">Records related to credit guaranties, letters of credit and loans to customers, and customer credit information. Retain for 10 years after expiration. </v>
          </cell>
          <cell r="D39" t="str">
            <v>EVT + 10Y</v>
          </cell>
          <cell r="E39" t="str">
            <v>Guarantee Ceases</v>
          </cell>
          <cell r="F39" t="str">
            <v>AFT1120, AFT1130</v>
          </cell>
          <cell r="G39" t="str">
            <v>FIN 310</v>
          </cell>
          <cell r="H39" t="str">
            <v>Confidential</v>
          </cell>
          <cell r="I39" t="str">
            <v>Finance</v>
          </cell>
          <cell r="J39" t="str">
            <v>Katherine Cao</v>
          </cell>
        </row>
        <row r="40">
          <cell r="A40" t="str">
            <v>FIN320</v>
          </cell>
          <cell r="B40" t="str">
            <v xml:space="preserve"> Investments and Foreign Exchange</v>
          </cell>
          <cell r="C40" t="str">
            <v xml:space="preserve">Records of investments and foreign exchange transactions, spot currency, forward and option transactions, and confirmations. Retain for 10 years after tax year closes or until notified by the Tax Department of tax clearance. </v>
          </cell>
          <cell r="D40" t="str">
            <v>EVT + 10Y</v>
          </cell>
          <cell r="E40" t="str">
            <v>Tax Year Closed</v>
          </cell>
          <cell r="F40" t="str">
            <v>AFT1160</v>
          </cell>
          <cell r="G40" t="str">
            <v>FIN 320, FIN 330</v>
          </cell>
          <cell r="H40" t="str">
            <v>Confidential</v>
          </cell>
          <cell r="I40" t="str">
            <v>Finance</v>
          </cell>
          <cell r="J40" t="str">
            <v>Katherine Cao</v>
          </cell>
        </row>
        <row r="41">
          <cell r="A41" t="str">
            <v>FIN330</v>
          </cell>
          <cell r="B41" t="str">
            <v xml:space="preserve"> Investor Relations</v>
          </cell>
          <cell r="C41" t="str">
            <v xml:space="preserve">Information communicated to actual and prospective investors and investment analysts, including correspondence and financial presentations. Retain for 7 years. </v>
          </cell>
          <cell r="D41" t="str">
            <v>7Y</v>
          </cell>
          <cell r="E41" t="str">
            <v>Creation Date</v>
          </cell>
          <cell r="F41" t="str">
            <v>NA</v>
          </cell>
          <cell r="G41" t="str">
            <v>FIN 340</v>
          </cell>
          <cell r="H41" t="str">
            <v>Confidential</v>
          </cell>
          <cell r="I41" t="str">
            <v>Finance</v>
          </cell>
          <cell r="J41" t="str">
            <v>Katherine Cao</v>
          </cell>
        </row>
        <row r="42">
          <cell r="A42" t="str">
            <v>FIN410</v>
          </cell>
          <cell r="B42" t="str">
            <v>Consolidated Financial Statements (Year End)</v>
          </cell>
          <cell r="C42" t="str">
            <v xml:space="preserve">Consolidated financial statements, including year-end balance sheets and consolidated worldwide tax statements. Retain for 1 year after life of company. (Does not include interim financial reports; see FIN460.) </v>
          </cell>
          <cell r="D42" t="str">
            <v>EVT + 1Y</v>
          </cell>
          <cell r="E42" t="str">
            <v>Life of Company</v>
          </cell>
          <cell r="F42" t="str">
            <v xml:space="preserve"> AFT1140 </v>
          </cell>
          <cell r="G42" t="str">
            <v>FIN 410</v>
          </cell>
          <cell r="H42" t="str">
            <v>Confidential</v>
          </cell>
          <cell r="I42" t="str">
            <v>Finance</v>
          </cell>
          <cell r="J42" t="str">
            <v>Katherine Cao</v>
          </cell>
        </row>
        <row r="43">
          <cell r="A43" t="str">
            <v>FIN420</v>
          </cell>
          <cell r="B43" t="str">
            <v>Corporate Budgets and Financial Forecasting</v>
          </cell>
          <cell r="C43" t="str">
            <v xml:space="preserve">Records related to corporate-wide financial budgets and financial forecasting, including corporate budget, cash planning, and tax forecasts. Retain for 7 years. </v>
          </cell>
          <cell r="D43" t="str">
            <v>7Y</v>
          </cell>
          <cell r="E43" t="str">
            <v>Creation Date</v>
          </cell>
          <cell r="F43" t="str">
            <v>AFT1110</v>
          </cell>
          <cell r="G43" t="str">
            <v>FIN 420</v>
          </cell>
          <cell r="H43" t="str">
            <v>Confidential</v>
          </cell>
          <cell r="I43" t="str">
            <v>Finance</v>
          </cell>
          <cell r="J43" t="str">
            <v>Katherine Cao</v>
          </cell>
        </row>
        <row r="44">
          <cell r="A44" t="str">
            <v>FIN430</v>
          </cell>
          <cell r="B44" t="str">
            <v>Department / Location Budgets</v>
          </cell>
          <cell r="C44" t="str">
            <v xml:space="preserve">Records related to the budgeting process for individual departments and locations. Retain for 5 years. </v>
          </cell>
          <cell r="D44" t="str">
            <v>5Y</v>
          </cell>
          <cell r="E44" t="str">
            <v>Creation Date</v>
          </cell>
          <cell r="F44" t="str">
            <v>AFT1110</v>
          </cell>
          <cell r="G44" t="str">
            <v>FIN 430</v>
          </cell>
          <cell r="H44" t="str">
            <v>Confidential</v>
          </cell>
          <cell r="I44" t="str">
            <v>Finance</v>
          </cell>
          <cell r="J44" t="str">
            <v>Katherine Cao</v>
          </cell>
        </row>
        <row r="45">
          <cell r="A45" t="str">
            <v>FIN440</v>
          </cell>
          <cell r="B45" t="str">
            <v>Financial Reporting -SEC and NYSE</v>
          </cell>
          <cell r="C45" t="str">
            <v>Financial reports and correspondence submitted to and received from the Securities and Exchange Commission (SEC) and New York Stock Exchange (NYSE), including registered offerings, reports on Forms 8-K, 10-K, 10-Q, S-1, and S-8, and related exhibits or supporting records. Retain for 1 year after life of company</v>
          </cell>
          <cell r="D45" t="str">
            <v>EVT + 1Y</v>
          </cell>
          <cell r="E45" t="str">
            <v>Life of Company</v>
          </cell>
          <cell r="F45" t="str">
            <v>AFT1030</v>
          </cell>
          <cell r="G45" t="str">
            <v>FIN 440</v>
          </cell>
          <cell r="H45" t="str">
            <v>Confidential</v>
          </cell>
          <cell r="I45" t="str">
            <v>Finance</v>
          </cell>
          <cell r="J45" t="str">
            <v>Katherine Cao</v>
          </cell>
        </row>
        <row r="46">
          <cell r="A46" t="str">
            <v>FIN450</v>
          </cell>
          <cell r="B46" t="str">
            <v xml:space="preserve">Financial Reports Required by Contracts </v>
          </cell>
          <cell r="C46" t="str">
            <v xml:space="preserve">Financial reports required by contracts with financial institutions, including quarterly financial reports submitted to lenders. Retain for 6 years after termination of contract. </v>
          </cell>
          <cell r="D46" t="str">
            <v>EVT + 6Y</v>
          </cell>
          <cell r="E46" t="str">
            <v>Termination of  Contract</v>
          </cell>
          <cell r="F46" t="str">
            <v>AFT1020</v>
          </cell>
          <cell r="G46" t="str">
            <v>FIN 450</v>
          </cell>
          <cell r="H46" t="str">
            <v>Confidential</v>
          </cell>
          <cell r="I46" t="str">
            <v>Finance</v>
          </cell>
          <cell r="J46" t="str">
            <v>Katherine Cao</v>
          </cell>
        </row>
        <row r="47">
          <cell r="A47" t="str">
            <v>FIN460</v>
          </cell>
          <cell r="B47" t="str">
            <v>Financial Reports to Management</v>
          </cell>
          <cell r="C47" t="str">
            <v xml:space="preserve">Financial reports to management, including annual report support data, interim reports, sales reports, and financial analysis. Retain for 3 years. (Does not include consolidated financial statements or operational reports and analysis; see ADM150 and FIN410.) </v>
          </cell>
          <cell r="D47" t="str">
            <v>3Y</v>
          </cell>
          <cell r="E47" t="str">
            <v>Creation Date</v>
          </cell>
          <cell r="F47" t="str">
            <v>AFT1020,INS1060</v>
          </cell>
          <cell r="G47" t="str">
            <v>FIN 460</v>
          </cell>
          <cell r="H47" t="str">
            <v>Confidential</v>
          </cell>
          <cell r="I47" t="str">
            <v>Finance</v>
          </cell>
          <cell r="J47" t="str">
            <v>Katherine Cao</v>
          </cell>
        </row>
        <row r="48">
          <cell r="A48" t="str">
            <v>FIN470</v>
          </cell>
          <cell r="B48" t="str">
            <v>Government Statistical Reporting</v>
          </cell>
          <cell r="C48" t="str">
            <v xml:space="preserve">Statistical reports submitted to government agencies, including backup and supporting data. Retain for 3 years. (Does not include reports submitted to SEC or NYSE or tax returns; see FIN440 and FIN910 -FIN960.) </v>
          </cell>
          <cell r="D48" t="str">
            <v>3Y</v>
          </cell>
          <cell r="E48" t="str">
            <v>Creation Date</v>
          </cell>
          <cell r="F48" t="str">
            <v>LEG1050</v>
          </cell>
          <cell r="G48" t="str">
            <v>FIN 470</v>
          </cell>
          <cell r="H48" t="str">
            <v>General</v>
          </cell>
          <cell r="I48" t="str">
            <v>Finance</v>
          </cell>
          <cell r="J48" t="str">
            <v>Katherine Cao</v>
          </cell>
        </row>
        <row r="49">
          <cell r="A49" t="str">
            <v>FIN510</v>
          </cell>
          <cell r="B49" t="str">
            <v>Certificates of Insurance</v>
          </cell>
          <cell r="C49" t="str">
            <v>Certificates of insurance issued to the Company. Retain for 7 years. (Does not include those maintained as part of a contract or certificates issued by the Company; see LGL110 and LGL120, )</v>
          </cell>
          <cell r="D49" t="str">
            <v>7Y</v>
          </cell>
          <cell r="E49" t="str">
            <v>Creation Date</v>
          </cell>
          <cell r="F49" t="str">
            <v>INS1010</v>
          </cell>
          <cell r="G49" t="str">
            <v>FIN 510</v>
          </cell>
          <cell r="H49" t="str">
            <v>General</v>
          </cell>
          <cell r="I49" t="str">
            <v>Finance</v>
          </cell>
          <cell r="J49" t="str">
            <v>Katherine Cao</v>
          </cell>
        </row>
        <row r="50">
          <cell r="A50" t="str">
            <v>FIN520</v>
          </cell>
          <cell r="B50" t="str">
            <v>Insurance Bonds</v>
          </cell>
          <cell r="C50" t="str">
            <v>Insurance bonds, including contractors, indemnity, payment, and construction bonds. Retain for 6 years after bond expires</v>
          </cell>
          <cell r="D50" t="str">
            <v>EVT + 6Y</v>
          </cell>
          <cell r="E50" t="str">
            <v>Bond Expiration</v>
          </cell>
          <cell r="F50" t="str">
            <v>INS1040</v>
          </cell>
          <cell r="G50" t="str">
            <v>FIN 520</v>
          </cell>
          <cell r="H50" t="str">
            <v>Confidential</v>
          </cell>
          <cell r="I50" t="str">
            <v>Finance</v>
          </cell>
          <cell r="J50" t="str">
            <v>Katherine Cao</v>
          </cell>
        </row>
        <row r="51">
          <cell r="A51" t="str">
            <v>FIN530</v>
          </cell>
          <cell r="B51" t="str">
            <v>Insurance Policies</v>
          </cell>
          <cell r="C51" t="str">
            <v xml:space="preserve">Corporate liability insurance policies and related records that support the policy interpretation, definitions, and coverage. Retain for 1 year after life of company. (Does not include employee benefit insurance policies; see HR030.) </v>
          </cell>
          <cell r="D51" t="str">
            <v>EVT + 1Y</v>
          </cell>
          <cell r="E51" t="str">
            <v>Life of Company</v>
          </cell>
          <cell r="F51" t="str">
            <v>INS1000, INS1040</v>
          </cell>
          <cell r="G51" t="str">
            <v>FIN 530</v>
          </cell>
          <cell r="H51" t="str">
            <v>Confidential</v>
          </cell>
          <cell r="I51" t="str">
            <v>Finance</v>
          </cell>
          <cell r="J51" t="str">
            <v>Katherine Cao</v>
          </cell>
        </row>
        <row r="52">
          <cell r="A52" t="str">
            <v>FIN610</v>
          </cell>
          <cell r="B52" t="str">
            <v xml:space="preserve"> Payroll Accounting </v>
          </cell>
          <cell r="C52" t="str">
            <v xml:space="preserve">Records documenting payroll calculations, including time sheets, registers, commissions and attendance records. Also includes employee withholding and garnishment records.  Retain until notified by the Tax Department of tax clearance. </v>
          </cell>
          <cell r="D52" t="str">
            <v>EVT + 10Y</v>
          </cell>
          <cell r="E52" t="str">
            <v>Tax Year Closed</v>
          </cell>
          <cell r="F52" t="str">
            <v>PAY1000, PAY1020</v>
          </cell>
          <cell r="G52" t="str">
            <v>FIN 610, FIN 620</v>
          </cell>
          <cell r="H52" t="str">
            <v>Highly Confidential</v>
          </cell>
          <cell r="I52" t="str">
            <v>Finance</v>
          </cell>
          <cell r="J52" t="str">
            <v>Katherine Cao</v>
          </cell>
        </row>
        <row r="53">
          <cell r="A53" t="str">
            <v>FIN620</v>
          </cell>
          <cell r="B53" t="str">
            <v>Salary Administration</v>
          </cell>
          <cell r="C53" t="str">
            <v>Records related to planning and administering employee compensation, including salary, and other perquisites. Retain for 7 years.</v>
          </cell>
          <cell r="D53" t="str">
            <v>7Y</v>
          </cell>
          <cell r="E53" t="str">
            <v>Creation Date</v>
          </cell>
          <cell r="F53" t="str">
            <v>PAY1010</v>
          </cell>
          <cell r="G53" t="str">
            <v>FIN 630</v>
          </cell>
          <cell r="H53" t="str">
            <v>Highly Confidential</v>
          </cell>
          <cell r="I53" t="str">
            <v>Finance</v>
          </cell>
          <cell r="J53" t="str">
            <v>Katherine Cao</v>
          </cell>
        </row>
        <row r="54">
          <cell r="A54" t="str">
            <v>FIN710</v>
          </cell>
          <cell r="B54" t="str">
            <v>Purchase Orders</v>
          </cell>
          <cell r="C54" t="str">
            <v>Records related to the purchasing of products, equipment, and supplies from third-party vendors, including purchase requisitions and purchase orders. Retain for 6 years after purchase order is closed.  (For purchase orders for projects, see PRJ010.)</v>
          </cell>
          <cell r="D54" t="str">
            <v xml:space="preserve">EVT + 10Y </v>
          </cell>
          <cell r="E54" t="str">
            <v>Closed</v>
          </cell>
          <cell r="F54" t="str">
            <v>PRJ1180, PRJ1190</v>
          </cell>
          <cell r="G54" t="str">
            <v>FIN 710</v>
          </cell>
          <cell r="H54" t="str">
            <v>Confidential</v>
          </cell>
          <cell r="I54" t="str">
            <v>Finance</v>
          </cell>
          <cell r="J54" t="str">
            <v>Katherine Cao</v>
          </cell>
        </row>
        <row r="55">
          <cell r="A55" t="str">
            <v>FIN720</v>
          </cell>
          <cell r="B55" t="str">
            <v>Shipping and Receiving</v>
          </cell>
          <cell r="C55" t="str">
            <v xml:space="preserve">Records related to transportation and receipt of procured products, including bills of lading, packing slips, manifests, import or export documentation. Retain for 10 years. </v>
          </cell>
          <cell r="D55" t="str">
            <v>10Y</v>
          </cell>
          <cell r="E55" t="str">
            <v>Creation Date</v>
          </cell>
          <cell r="F55" t="str">
            <v>PRJ1200, PRJ1210</v>
          </cell>
          <cell r="G55" t="str">
            <v>FIN 720</v>
          </cell>
          <cell r="H55" t="str">
            <v>General</v>
          </cell>
          <cell r="I55" t="str">
            <v>Finance</v>
          </cell>
          <cell r="J55" t="str">
            <v>Katherine Cao</v>
          </cell>
        </row>
        <row r="56">
          <cell r="A56" t="str">
            <v>FIN730</v>
          </cell>
          <cell r="B56" t="str">
            <v>Vendor Selections and Bidding Documentation -Unsuccessful</v>
          </cell>
          <cell r="C56" t="str">
            <v xml:space="preserve">Records related to vendor selection and rejected bidding process, including vendor qualifications, requests for proposal, and unsuccessful bidding proposals. Retain for 5 years. </v>
          </cell>
          <cell r="D56" t="str">
            <v>5Y</v>
          </cell>
          <cell r="E56" t="str">
            <v>Creation Date</v>
          </cell>
          <cell r="F56" t="str">
            <v>AFT1190</v>
          </cell>
          <cell r="G56" t="str">
            <v>FIN 730, FIN 740</v>
          </cell>
          <cell r="H56" t="str">
            <v>Confidential</v>
          </cell>
          <cell r="I56" t="str">
            <v>Finance</v>
          </cell>
          <cell r="J56" t="str">
            <v>Katherine Cao</v>
          </cell>
        </row>
        <row r="57">
          <cell r="A57" t="str">
            <v>FIN810</v>
          </cell>
          <cell r="B57" t="str">
            <v>Product Inventory</v>
          </cell>
          <cell r="C57" t="str">
            <v>Records related to product inventories maintained for internal control and audit purposes, including cycle count reports, inventory disposal forms, obsolescence reports, and returns and buybacks. Retain for 5 years after superseded or it becomes obsolete</v>
          </cell>
          <cell r="D57" t="str">
            <v>EVT + 5Y</v>
          </cell>
          <cell r="E57" t="str">
            <v>Superseded/ Obsolete</v>
          </cell>
          <cell r="F57" t="str">
            <v>NA</v>
          </cell>
          <cell r="G57" t="str">
            <v>FIN 810</v>
          </cell>
          <cell r="H57" t="str">
            <v>Confidential</v>
          </cell>
          <cell r="I57" t="str">
            <v>Finance</v>
          </cell>
          <cell r="J57" t="str">
            <v>Katherine Cao</v>
          </cell>
        </row>
        <row r="58">
          <cell r="A58" t="str">
            <v>FIN820</v>
          </cell>
          <cell r="B58" t="str">
            <v>Product Pricing</v>
          </cell>
          <cell r="C58" t="str">
            <v>Records related to product pricing and pricing decisions, including price lists, executive approval of pricing, and transfer pricing documentation. Retain for 6 years after pricing is superseded or becomes obsolete</v>
          </cell>
          <cell r="D58" t="str">
            <v>EVT + 6Y</v>
          </cell>
          <cell r="E58" t="str">
            <v>Superseded/  Obsolete</v>
          </cell>
          <cell r="F58" t="str">
            <v>BDT1020</v>
          </cell>
          <cell r="G58" t="str">
            <v>FIN 820</v>
          </cell>
          <cell r="H58" t="str">
            <v>Confidential</v>
          </cell>
          <cell r="I58" t="str">
            <v>Finance</v>
          </cell>
          <cell r="J58" t="str">
            <v>Katherine Cao</v>
          </cell>
        </row>
        <row r="59">
          <cell r="A59" t="str">
            <v>FIN910</v>
          </cell>
          <cell r="B59" t="str">
            <v>Compensation Tax Forms</v>
          </cell>
          <cell r="C59" t="str">
            <v xml:space="preserve">Forms submitted to taxing authorities relating to compensation paid to employees, contractors, vendors, and distributors.  Some examples include Forms 1042, 1099, W2, P45, P60, and P11D. Retain for 5 years. </v>
          </cell>
          <cell r="D59" t="str">
            <v>5Y</v>
          </cell>
          <cell r="E59" t="str">
            <v>Creation Date</v>
          </cell>
          <cell r="F59" t="str">
            <v>TAX1000, TAX1060</v>
          </cell>
          <cell r="G59" t="str">
            <v>FIN 910</v>
          </cell>
          <cell r="H59" t="str">
            <v>Highly Confidential</v>
          </cell>
          <cell r="I59" t="str">
            <v>Finance</v>
          </cell>
          <cell r="J59" t="str">
            <v>Melody Clark</v>
          </cell>
        </row>
        <row r="60">
          <cell r="A60" t="str">
            <v>FIN920</v>
          </cell>
          <cell r="B60" t="str">
            <v>Tax -Payroll, Sales, Use and Other</v>
          </cell>
          <cell r="C60" t="str">
            <v xml:space="preserve">Records documenting payment of state and federal payroll taxes, state and local  sales taxes, franchise taxes, use taxes, and other miscellaneous taxes, including supporting documents and work papers. Retain for 10 years after tax year closes or until notified by the Tax Department of tax clearance. </v>
          </cell>
          <cell r="D60" t="str">
            <v>EVT + 10Y</v>
          </cell>
          <cell r="E60" t="str">
            <v>Tax Year Closed</v>
          </cell>
          <cell r="F60" t="str">
            <v>TAX1050</v>
          </cell>
          <cell r="G60" t="str">
            <v>FIN 940</v>
          </cell>
          <cell r="H60" t="str">
            <v>Confidential</v>
          </cell>
          <cell r="I60" t="str">
            <v>Finance</v>
          </cell>
          <cell r="J60" t="str">
            <v>Melody Clark</v>
          </cell>
        </row>
        <row r="61">
          <cell r="A61" t="str">
            <v>FIN930</v>
          </cell>
          <cell r="B61" t="str">
            <v>Tax Audits -Foreign and Domestic</v>
          </cell>
          <cell r="C61" t="str">
            <v xml:space="preserve">Records of all tax audits, including federal, foreign, state, customs, sales tax, and transfer pricing audits. Retain for 10 years. </v>
          </cell>
          <cell r="D61" t="str">
            <v>10Y</v>
          </cell>
          <cell r="E61" t="str">
            <v>Creation Date</v>
          </cell>
          <cell r="F61" t="str">
            <v>TAX1040</v>
          </cell>
          <cell r="G61" t="str">
            <v>FIN 950</v>
          </cell>
          <cell r="H61" t="str">
            <v>Confidential</v>
          </cell>
          <cell r="I61" t="str">
            <v>Finance</v>
          </cell>
          <cell r="J61" t="str">
            <v>Melody Clark</v>
          </cell>
        </row>
        <row r="62">
          <cell r="A62" t="str">
            <v>FIN940</v>
          </cell>
          <cell r="B62" t="str">
            <v>Tax Returns and Amendments</v>
          </cell>
          <cell r="C62" t="str">
            <v xml:space="preserve">Tax returns filed with the Internal Revenue Service (IRS) and other applicable government agencies, including attachments and work papers. Retain for 1 year after life of company. </v>
          </cell>
          <cell r="D62" t="str">
            <v>EVT + 1Y</v>
          </cell>
          <cell r="E62" t="str">
            <v>Life of Company</v>
          </cell>
          <cell r="F62" t="str">
            <v>TAX1010, TAX1020, TAX1030</v>
          </cell>
          <cell r="G62" t="str">
            <v>FIN 960</v>
          </cell>
          <cell r="H62" t="str">
            <v>Confidential</v>
          </cell>
          <cell r="I62" t="str">
            <v>Finance</v>
          </cell>
          <cell r="J62" t="str">
            <v>Melody Clark</v>
          </cell>
        </row>
        <row r="63">
          <cell r="A63" t="str">
            <v>FIN950</v>
          </cell>
          <cell r="B63" t="str">
            <v>Tax Strategy</v>
          </cell>
          <cell r="C63" t="str">
            <v xml:space="preserve">Tax strategy published on the Technip Energies plc website for public consumption. Retain for 1 year after the new tax strategy is published. </v>
          </cell>
          <cell r="D63" t="str">
            <v>EVT + 1Y</v>
          </cell>
          <cell r="E63" t="str">
            <v>Until New Strategy Published</v>
          </cell>
          <cell r="F63"/>
          <cell r="G63"/>
          <cell r="H63" t="str">
            <v>Confidential</v>
          </cell>
          <cell r="I63" t="str">
            <v>Finance</v>
          </cell>
          <cell r="J63" t="str">
            <v>Melody Clark</v>
          </cell>
        </row>
        <row r="64">
          <cell r="A64" t="str">
            <v>HR010</v>
          </cell>
          <cell r="B64" t="str">
            <v>Benefits Accounting and Enrollment</v>
          </cell>
          <cell r="C64" t="str">
            <v xml:space="preserve">Records related to the financial details and accounting of employee entitled benefits from corporate benefit, pension, and retirement plans along with employee enrollment in company-sponsored benefit plans, including disability income, medical, retirement, severance, life insurance, and other benefits. Retain for 10 years after all benefits have ended. </v>
          </cell>
          <cell r="D64" t="str">
            <v>EVT + 10Y</v>
          </cell>
          <cell r="E64" t="str">
            <v>Benefits End</v>
          </cell>
          <cell r="F64" t="str">
            <v>PER1020, PER1070</v>
          </cell>
          <cell r="G64" t="str">
            <v>HR 010, HR 030</v>
          </cell>
          <cell r="H64" t="str">
            <v>Highly Confidential</v>
          </cell>
          <cell r="I64" t="str">
            <v>HR Benefits</v>
          </cell>
          <cell r="J64" t="str">
            <v>Sidney Barrau</v>
          </cell>
        </row>
        <row r="65">
          <cell r="A65" t="str">
            <v>HR020</v>
          </cell>
          <cell r="B65" t="str">
            <v>Benefits Administration</v>
          </cell>
          <cell r="C65" t="str">
            <v xml:space="preserve">Records related to the administration of employee and executive benefit plans, including reports from third-party providers, financial reports, investment statements, purchase and withdrawal records, and any ERISA filings. Retain for 10 years. (Does not include benefits enrollment; see HR010.) </v>
          </cell>
          <cell r="D65" t="str">
            <v>10Y</v>
          </cell>
          <cell r="E65" t="str">
            <v>Creation Date</v>
          </cell>
          <cell r="F65" t="str">
            <v>PER1010, PER1020,  PER1060</v>
          </cell>
          <cell r="G65" t="str">
            <v>HR 020</v>
          </cell>
          <cell r="H65" t="str">
            <v>Highly Confidential</v>
          </cell>
          <cell r="I65" t="str">
            <v>HR Benefits</v>
          </cell>
          <cell r="J65" t="str">
            <v>Sidney Barrau</v>
          </cell>
        </row>
        <row r="66">
          <cell r="A66" t="str">
            <v>HR030</v>
          </cell>
          <cell r="B66" t="str">
            <v>Benefits Plans and Policies</v>
          </cell>
          <cell r="C66" t="str">
            <v xml:space="preserve">Formal documentation of employee benefits plans and policies, including summary plan descriptions provided to employees. Retain for 10 years after expiration of plan or policy. (Does not include union benefit plans; see LGL120.) </v>
          </cell>
          <cell r="D66" t="str">
            <v>EVT + 10Y</v>
          </cell>
          <cell r="E66" t="str">
            <v>Expiration</v>
          </cell>
          <cell r="F66" t="str">
            <v>PER1010, PER1020, PER1060</v>
          </cell>
          <cell r="G66" t="str">
            <v>HR 040</v>
          </cell>
          <cell r="H66" t="str">
            <v>Confidential</v>
          </cell>
          <cell r="I66" t="str">
            <v>HR Benefits</v>
          </cell>
          <cell r="J66" t="str">
            <v>Sidney Barrau</v>
          </cell>
        </row>
        <row r="67">
          <cell r="A67" t="str">
            <v>HR110</v>
          </cell>
          <cell r="B67" t="str">
            <v>Immigration and Naturalization</v>
          </cell>
          <cell r="C67" t="str">
            <v xml:space="preserve">Records related to determination of eligibility of employment, including pre- employment testing and Form I-9, along with immigration and naturalization records of employees transferring to and from facilities. Retain for 6 years after employment is terminated. </v>
          </cell>
          <cell r="D67" t="str">
            <v>EVT + 6Y</v>
          </cell>
          <cell r="E67" t="str">
            <v>Employee Termination</v>
          </cell>
          <cell r="F67" t="str">
            <v>PER1050</v>
          </cell>
          <cell r="G67" t="str">
            <v>HR 110</v>
          </cell>
          <cell r="H67" t="str">
            <v>Highly Confidential</v>
          </cell>
          <cell r="I67" t="str">
            <v xml:space="preserve">HR </v>
          </cell>
          <cell r="J67" t="str">
            <v>Sidney Barrau</v>
          </cell>
        </row>
        <row r="68">
          <cell r="A68" t="str">
            <v>HR120</v>
          </cell>
          <cell r="B68" t="str">
            <v>Employee Personnel Files -Official   </v>
          </cell>
          <cell r="C68" t="str">
            <v xml:space="preserve">Official employee personnel files, including employee status reports, performance appraisals, FMLA documentation, and other employee records maintained by Human Resources. Retain the official employee personnel file for 6 years after the employment is terminated. </v>
          </cell>
          <cell r="D68" t="str">
            <v>EVT + 6Y</v>
          </cell>
          <cell r="E68" t="str">
            <v>Employee Termination</v>
          </cell>
          <cell r="F68" t="str">
            <v>PER1050</v>
          </cell>
          <cell r="G68" t="str">
            <v>HR 120</v>
          </cell>
          <cell r="H68" t="str">
            <v>Highly Confidential</v>
          </cell>
          <cell r="I68" t="str">
            <v>HR</v>
          </cell>
          <cell r="J68" t="str">
            <v>Sidney Barrau</v>
          </cell>
        </row>
        <row r="69">
          <cell r="A69" t="str">
            <v>HR130</v>
          </cell>
          <cell r="B69" t="str">
            <v>Employee Recruitment</v>
          </cell>
          <cell r="C69" t="str">
            <v xml:space="preserve">Records related to employee recruitment, including job descriptions, job postings, applications, resumes, background checks, and job requisitions. Retain for 5 years. </v>
          </cell>
          <cell r="D69" t="str">
            <v>5Y</v>
          </cell>
          <cell r="E69" t="str">
            <v>Creation Date</v>
          </cell>
          <cell r="F69" t="str">
            <v>PER1030, PER1040</v>
          </cell>
          <cell r="G69" t="str">
            <v>HR 140</v>
          </cell>
          <cell r="H69" t="str">
            <v>Highly Confidential</v>
          </cell>
          <cell r="I69" t="str">
            <v>HR</v>
          </cell>
          <cell r="J69" t="str">
            <v>Sidney Barrau</v>
          </cell>
        </row>
        <row r="70">
          <cell r="A70" t="str">
            <v>HR140</v>
          </cell>
          <cell r="B70" t="str">
            <v>Workforce Reports</v>
          </cell>
          <cell r="C70" t="str">
            <v xml:space="preserve">Workforce reports submitted to government agencies with supporting documents, including affirmative action plans, state manpower reports, and Equal Employment Opportunity Commission (EEOC) reports. Retain for 7 years. </v>
          </cell>
          <cell r="D70" t="str">
            <v>7Y</v>
          </cell>
          <cell r="E70" t="str">
            <v>Creation Date</v>
          </cell>
          <cell r="F70" t="str">
            <v>LEG1050</v>
          </cell>
          <cell r="G70" t="str">
            <v>HR 160</v>
          </cell>
          <cell r="H70" t="str">
            <v>Highly Confidential</v>
          </cell>
          <cell r="I70" t="str">
            <v>HR</v>
          </cell>
          <cell r="J70" t="str">
            <v>Sidney Barrau</v>
          </cell>
        </row>
        <row r="71">
          <cell r="A71" t="str">
            <v>HR210</v>
          </cell>
          <cell r="B71" t="str">
            <v xml:space="preserve">Drug and Alcohol Testing </v>
          </cell>
          <cell r="C71" t="str">
            <v xml:space="preserve">Records related to drug and alcohol testing procedures, training and results. Retain for 5 years. </v>
          </cell>
          <cell r="D71" t="str">
            <v>5Y</v>
          </cell>
          <cell r="E71" t="str">
            <v>Creation Date</v>
          </cell>
          <cell r="F71" t="str">
            <v>PER1040</v>
          </cell>
          <cell r="G71" t="str">
            <v>HR 210, HR 220</v>
          </cell>
          <cell r="H71" t="str">
            <v>Highly Confidential</v>
          </cell>
          <cell r="I71" t="str">
            <v>HR</v>
          </cell>
          <cell r="J71" t="str">
            <v>Sidney Barrau</v>
          </cell>
        </row>
        <row r="72">
          <cell r="A72" t="str">
            <v>HR220</v>
          </cell>
          <cell r="B72" t="str">
            <v>Employee Medical File</v>
          </cell>
          <cell r="C72" t="str">
            <v xml:space="preserve">Employee medical records, including medical exposure surveillance, audiometric testing and physicals. Retain for 30 years after employee terminates. </v>
          </cell>
          <cell r="D72" t="str">
            <v>EVT + 30Y</v>
          </cell>
          <cell r="E72" t="str">
            <v>Employee Termination</v>
          </cell>
          <cell r="F72" t="str">
            <v>DIV1020</v>
          </cell>
          <cell r="G72" t="str">
            <v>HR 230</v>
          </cell>
          <cell r="H72" t="str">
            <v>Highly Confidential</v>
          </cell>
          <cell r="I72" t="str">
            <v>HR</v>
          </cell>
          <cell r="J72" t="str">
            <v>Sidney Barrau</v>
          </cell>
        </row>
        <row r="73">
          <cell r="A73" t="str">
            <v>HR230</v>
          </cell>
          <cell r="B73" t="str">
            <v>Workers' Compensation</v>
          </cell>
          <cell r="C73" t="str">
            <v xml:space="preserve">Records related to workers' compensation claims. Retain for 10 years after case is closed or resolved. </v>
          </cell>
          <cell r="D73" t="str">
            <v>EVT + 10Y</v>
          </cell>
          <cell r="E73" t="str">
            <v>Case Closed</v>
          </cell>
          <cell r="F73" t="str">
            <v>INS1020, INS1030, PER1000</v>
          </cell>
          <cell r="G73" t="str">
            <v>HR 240</v>
          </cell>
          <cell r="H73" t="str">
            <v>Highly Confidential</v>
          </cell>
          <cell r="I73" t="str">
            <v>HR</v>
          </cell>
          <cell r="J73" t="str">
            <v>Sidney Barrau</v>
          </cell>
        </row>
        <row r="74">
          <cell r="A74" t="str">
            <v>HR310</v>
          </cell>
          <cell r="B74" t="str">
            <v>Employee Awards and Relations</v>
          </cell>
          <cell r="C74" t="str">
            <v xml:space="preserve">Records related to employee service awards and employee relations committees and actions. Retain for 5 years. </v>
          </cell>
          <cell r="D74" t="str">
            <v>5Y</v>
          </cell>
          <cell r="E74" t="str">
            <v>Creation Date</v>
          </cell>
          <cell r="F74" t="str">
            <v>Not clearly stated</v>
          </cell>
          <cell r="G74" t="str">
            <v>HR 310</v>
          </cell>
          <cell r="H74" t="str">
            <v>Confidential</v>
          </cell>
          <cell r="I74" t="str">
            <v>HR</v>
          </cell>
          <cell r="J74" t="str">
            <v>Sidney Barrau</v>
          </cell>
        </row>
        <row r="75">
          <cell r="A75" t="str">
            <v>HR320</v>
          </cell>
          <cell r="B75" t="str">
            <v xml:space="preserve">Training Attendance Records </v>
          </cell>
          <cell r="C75" t="str">
            <v xml:space="preserve">Records related to the attendance or completion of safety or other government mandated training. Retain for 10 years after employee terminates. </v>
          </cell>
          <cell r="D75" t="str">
            <v>EVT + 10Y</v>
          </cell>
          <cell r="E75" t="str">
            <v>Employee Termination</v>
          </cell>
          <cell r="F75" t="str">
            <v>PER1090</v>
          </cell>
          <cell r="G75" t="str">
            <v>HR 330</v>
          </cell>
          <cell r="H75" t="str">
            <v>Confidential</v>
          </cell>
          <cell r="I75" t="str">
            <v>HR</v>
          </cell>
          <cell r="J75" t="str">
            <v>Sidney Barrau</v>
          </cell>
        </row>
        <row r="76">
          <cell r="A76" t="str">
            <v>HR330</v>
          </cell>
          <cell r="B76" t="str">
            <v xml:space="preserve">Training Materials </v>
          </cell>
          <cell r="C76" t="str">
            <v xml:space="preserve">Materials used to deliver safety or other government mandated training. Retain for 10 years after materials become obsolete or superseded. (Does not include records of attendance or completion; see HR320.) </v>
          </cell>
          <cell r="D76" t="str">
            <v>EVT + 10Y</v>
          </cell>
          <cell r="E76" t="str">
            <v>Superseded/ Obsolete</v>
          </cell>
          <cell r="F76" t="str">
            <v>HS1020, PER1080</v>
          </cell>
          <cell r="G76" t="str">
            <v>HR 340</v>
          </cell>
          <cell r="H76" t="str">
            <v>Confidential</v>
          </cell>
          <cell r="I76" t="str">
            <v>HR</v>
          </cell>
          <cell r="J76" t="str">
            <v>Sidney Barrau</v>
          </cell>
        </row>
        <row r="77">
          <cell r="A77" t="str">
            <v>HSE010</v>
          </cell>
          <cell r="B77" t="str">
            <v>Agency Correspondence</v>
          </cell>
          <cell r="C77" t="str">
            <v xml:space="preserve">Correspondence with agencies that regulate safety or environment. Correspondence relating to a notice of violation should be filed with the notice of violation; see HSE050. Retain for 7 years. </v>
          </cell>
          <cell r="D77" t="str">
            <v>7Y</v>
          </cell>
          <cell r="E77" t="str">
            <v>Creation Date</v>
          </cell>
          <cell r="F77" t="str">
            <v>Not clearly stated</v>
          </cell>
          <cell r="G77" t="str">
            <v>010HSE</v>
          </cell>
          <cell r="H77" t="str">
            <v>Confidential</v>
          </cell>
          <cell r="I77" t="str">
            <v>HSE</v>
          </cell>
          <cell r="J77" t="str">
            <v>Vince Dziechciarz</v>
          </cell>
        </row>
        <row r="78">
          <cell r="A78" t="str">
            <v>HSE020</v>
          </cell>
          <cell r="B78" t="str">
            <v>Government Inspections -HSE</v>
          </cell>
          <cell r="C78" t="str">
            <v xml:space="preserve">Records related to government inspections of the company regarding health, safety or environmental issues. Retain for 5 years after investigation is closed or resolved. </v>
          </cell>
          <cell r="D78" t="str">
            <v>EVT + 5Y</v>
          </cell>
          <cell r="E78" t="str">
            <v>Closed</v>
          </cell>
          <cell r="F78" t="str">
            <v>Not clearly stated</v>
          </cell>
          <cell r="G78" t="str">
            <v>020HSE</v>
          </cell>
          <cell r="H78" t="str">
            <v>Confidential</v>
          </cell>
          <cell r="I78" t="str">
            <v>HSE</v>
          </cell>
          <cell r="J78" t="str">
            <v>Vince Dziechciarz</v>
          </cell>
        </row>
        <row r="79">
          <cell r="A79" t="str">
            <v>HSE030</v>
          </cell>
          <cell r="B79" t="str">
            <v>HSE Internal Audits, Inspections, and Reports</v>
          </cell>
          <cell r="C79" t="str">
            <v xml:space="preserve">General safety, health, and environmental audits, assessments, reports, and studies on Company facilities and incident reports not associated with hazardous release or personal injury, including process safety compliance audits. Retain for 10 years. (Does not include reports to government agencies; see HSE020.) </v>
          </cell>
          <cell r="D79" t="str">
            <v>10Y</v>
          </cell>
          <cell r="E79" t="str">
            <v>Creation Date</v>
          </cell>
          <cell r="F79" t="str">
            <v>SEC1010</v>
          </cell>
          <cell r="G79" t="str">
            <v xml:space="preserve">030HSE </v>
          </cell>
          <cell r="H79" t="str">
            <v>Confidential</v>
          </cell>
          <cell r="I79" t="str">
            <v>HSE</v>
          </cell>
          <cell r="J79" t="str">
            <v>Vince Dziechciarz</v>
          </cell>
        </row>
        <row r="80">
          <cell r="A80" t="str">
            <v>HSE040</v>
          </cell>
          <cell r="B80" t="str">
            <v>HSE Planning and Assessment</v>
          </cell>
          <cell r="C80" t="str">
            <v xml:space="preserve">Records related to contingency planning for fire prevention, safety, emergency response, natural and exposure emergencies, notifications, and response. Retain for 10 years after plan is superseded or obsolete. </v>
          </cell>
          <cell r="D80" t="str">
            <v>EVT + 10Y</v>
          </cell>
          <cell r="E80" t="str">
            <v>Superseded/ Obsolete</v>
          </cell>
          <cell r="F80" t="str">
            <v>SEC1000</v>
          </cell>
          <cell r="G80" t="str">
            <v xml:space="preserve">040HSE </v>
          </cell>
          <cell r="H80" t="str">
            <v>Confidential</v>
          </cell>
          <cell r="I80" t="str">
            <v>HSE</v>
          </cell>
          <cell r="J80" t="str">
            <v>Vince Dziechciarz</v>
          </cell>
        </row>
        <row r="81">
          <cell r="A81" t="str">
            <v>HSE050</v>
          </cell>
          <cell r="B81" t="str">
            <v>Noncompliance Citations</v>
          </cell>
          <cell r="C81" t="str">
            <v xml:space="preserve">Citations for noncompliance or notifications of violations, including citation or notice, documentation of actions taken in response, correspondence, resultant settlements, and other related documents. Retain for 10 years. </v>
          </cell>
          <cell r="D81" t="str">
            <v>10Y</v>
          </cell>
          <cell r="E81" t="str">
            <v>Citation Date</v>
          </cell>
          <cell r="F81" t="str">
            <v>Not clearly stated</v>
          </cell>
          <cell r="G81" t="str">
            <v xml:space="preserve">050HSE </v>
          </cell>
          <cell r="H81" t="str">
            <v>Confidential</v>
          </cell>
          <cell r="I81" t="str">
            <v>HSE</v>
          </cell>
          <cell r="J81" t="str">
            <v>Vince Dziechciarz</v>
          </cell>
        </row>
        <row r="82">
          <cell r="A82" t="str">
            <v>HSE110</v>
          </cell>
          <cell r="B82" t="str">
            <v>Environmental Monitoring</v>
          </cell>
          <cell r="C82" t="str">
            <v xml:space="preserve">Records related to the inspections, analysis, monitoring, sampling, and repairs of environmental systems, including air and water discharge and chemical spills. Retain for 10 years. </v>
          </cell>
          <cell r="D82" t="str">
            <v>10Y</v>
          </cell>
          <cell r="E82" t="str">
            <v>Creation Date</v>
          </cell>
          <cell r="F82" t="str">
            <v>NA</v>
          </cell>
          <cell r="G82" t="str">
            <v>110HSE</v>
          </cell>
          <cell r="H82" t="str">
            <v>General</v>
          </cell>
          <cell r="I82" t="str">
            <v>HSE</v>
          </cell>
          <cell r="J82" t="str">
            <v>Vince Dziechciarz</v>
          </cell>
        </row>
        <row r="83">
          <cell r="A83" t="str">
            <v>HSE120</v>
          </cell>
          <cell r="B83" t="str">
            <v>Environmental Permits</v>
          </cell>
          <cell r="C83" t="str">
            <v xml:space="preserve">Environmental permits for air, water and waste, including discharge, construction and operating permits. Retain for 10 years after permit expires. </v>
          </cell>
          <cell r="D83" t="str">
            <v>EVT + 10Y</v>
          </cell>
          <cell r="E83" t="str">
            <v>Expiration /Superseded</v>
          </cell>
          <cell r="F83" t="str">
            <v>NA</v>
          </cell>
          <cell r="G83" t="str">
            <v>120HSE</v>
          </cell>
          <cell r="H83" t="str">
            <v>General</v>
          </cell>
          <cell r="I83" t="str">
            <v>HSE</v>
          </cell>
          <cell r="J83" t="str">
            <v>Vince Dziechciarz</v>
          </cell>
        </row>
        <row r="84">
          <cell r="A84" t="str">
            <v>HSE130</v>
          </cell>
          <cell r="B84" t="str">
            <v>Air Emissions Testing Registers (Malaysia/Egypt)</v>
          </cell>
          <cell r="C84" t="str">
            <v>Records of permanent registers of all air impurities emissions testing.  Must be retained on the premises.  Malaysia and Egypt only.  Retain for 1 year after life of company.</v>
          </cell>
          <cell r="D84" t="str">
            <v>EVT + 1Y</v>
          </cell>
          <cell r="E84" t="str">
            <v>Life of Company</v>
          </cell>
          <cell r="F84" t="str">
            <v>NA</v>
          </cell>
          <cell r="G84" t="str">
            <v>NA</v>
          </cell>
          <cell r="H84" t="str">
            <v>Confidential</v>
          </cell>
          <cell r="I84" t="str">
            <v>HSE</v>
          </cell>
          <cell r="J84" t="str">
            <v>Vince Dziechciarz</v>
          </cell>
        </row>
        <row r="85">
          <cell r="A85" t="str">
            <v>HSE140</v>
          </cell>
          <cell r="B85" t="str">
            <v>Environmental Remediation</v>
          </cell>
          <cell r="C85" t="str">
            <v xml:space="preserve">Records related to site studies, corrective actions and regulatory correspondence, including asbestos and lead abatement. Retain for 1 year after life of company. </v>
          </cell>
          <cell r="D85" t="str">
            <v>EVT + 1Y</v>
          </cell>
          <cell r="E85" t="str">
            <v>Life of Company</v>
          </cell>
          <cell r="F85" t="str">
            <v>HS1030</v>
          </cell>
          <cell r="G85" t="str">
            <v>130HSE</v>
          </cell>
          <cell r="H85" t="str">
            <v>Confidential</v>
          </cell>
          <cell r="I85" t="str">
            <v>HSE</v>
          </cell>
          <cell r="J85" t="str">
            <v>Vince Dziechciarz</v>
          </cell>
        </row>
        <row r="86">
          <cell r="A86" t="str">
            <v>HSE150</v>
          </cell>
          <cell r="B86" t="str">
            <v>Incident Investigation Reports</v>
          </cell>
          <cell r="C86" t="str">
            <v xml:space="preserve">Initial incident reports and incident investigation reports which result in or could have resulted in catastrophic release of highly hazardous chemicals. Retain for 10 years. </v>
          </cell>
          <cell r="D86" t="str">
            <v>10Y</v>
          </cell>
          <cell r="E86" t="str">
            <v>Creation Date</v>
          </cell>
          <cell r="F86" t="str">
            <v>ENV1050</v>
          </cell>
          <cell r="G86" t="str">
            <v>140HSE</v>
          </cell>
          <cell r="H86" t="str">
            <v>Confidential</v>
          </cell>
          <cell r="I86" t="str">
            <v>HSE</v>
          </cell>
          <cell r="J86" t="str">
            <v>Vince Dziechciarz</v>
          </cell>
        </row>
        <row r="87">
          <cell r="A87" t="str">
            <v>HSE210</v>
          </cell>
          <cell r="B87" t="str">
            <v>Noise and Vibration Exposure Monitoring and Testing</v>
          </cell>
          <cell r="C87" t="str">
            <v xml:space="preserve">Records related to noise and vibration exposure tests conducted to ensure the health and safety of employees.  Includes tests of noise exposure equipment and procedures.  Retain for 6 years after the employee terminates. </v>
          </cell>
          <cell r="D87" t="str">
            <v>EVT + 6Y</v>
          </cell>
          <cell r="E87" t="str">
            <v>Employee Termination</v>
          </cell>
          <cell r="F87" t="str">
            <v>NA</v>
          </cell>
          <cell r="G87" t="str">
            <v xml:space="preserve">220HSE </v>
          </cell>
          <cell r="H87" t="str">
            <v>Highly Confidential</v>
          </cell>
          <cell r="I87" t="str">
            <v>HSE</v>
          </cell>
          <cell r="J87" t="str">
            <v>Vince Dziechciarz</v>
          </cell>
        </row>
        <row r="88">
          <cell r="A88" t="str">
            <v>HSE220</v>
          </cell>
          <cell r="B88" t="str">
            <v>Personnel Accident or Injury</v>
          </cell>
          <cell r="C88" t="str">
            <v xml:space="preserve">Records related to personnel accidents and injuries, including injury reports and OSHA logs. Retain for 10 years. (Does not include worker's compensation claims; see HR230 and Vietnam fatalities; see HSE230.) </v>
          </cell>
          <cell r="D88" t="str">
            <v>10Y</v>
          </cell>
          <cell r="E88" t="str">
            <v>Creation Date</v>
          </cell>
          <cell r="F88" t="str">
            <v>HS1080</v>
          </cell>
          <cell r="G88" t="str">
            <v>230HSE</v>
          </cell>
          <cell r="H88" t="str">
            <v>Highly Confidential</v>
          </cell>
          <cell r="I88" t="str">
            <v>HSE</v>
          </cell>
          <cell r="J88" t="str">
            <v>Vince Dziechciarz</v>
          </cell>
        </row>
        <row r="89">
          <cell r="A89" t="str">
            <v>HSE230</v>
          </cell>
          <cell r="B89" t="str">
            <v>Occupational Accidents Involving Fatalities (Vietnam only)</v>
          </cell>
          <cell r="C89" t="str">
            <v>Records of occupational accidents where a fatality has occurred.  Vietnam only.  See HSE220B for Vietnam non-fatal injury records.  Keep for 15 years after case or investigation closes.</v>
          </cell>
          <cell r="D89" t="str">
            <v>EVT + 15Y</v>
          </cell>
          <cell r="E89" t="str">
            <v>Case Closed</v>
          </cell>
          <cell r="F89" t="str">
            <v>NA</v>
          </cell>
          <cell r="G89" t="str">
            <v>NA</v>
          </cell>
          <cell r="H89" t="str">
            <v>Highly Confidential</v>
          </cell>
          <cell r="I89" t="str">
            <v>HSE</v>
          </cell>
          <cell r="J89" t="str">
            <v>Vince Dziechciarz</v>
          </cell>
        </row>
        <row r="90">
          <cell r="A90" t="str">
            <v>HSE240</v>
          </cell>
          <cell r="B90" t="str">
            <v>Process Safety Management</v>
          </cell>
          <cell r="C90" t="str">
            <v xml:space="preserve">Records related to process safety management requirements including Process Hazard Analysis. Retain for 10 years after it is superseded or obsolete. </v>
          </cell>
          <cell r="D90" t="str">
            <v>EVT + 10Y</v>
          </cell>
          <cell r="E90" t="str">
            <v>Superseded/ Obsolete</v>
          </cell>
          <cell r="F90" t="str">
            <v>PRJ1020</v>
          </cell>
          <cell r="G90" t="str">
            <v>240HSE</v>
          </cell>
          <cell r="H90" t="str">
            <v>Confidential</v>
          </cell>
          <cell r="I90" t="str">
            <v>HSE</v>
          </cell>
          <cell r="J90" t="str">
            <v>Vince Dziechciarz</v>
          </cell>
        </row>
        <row r="91">
          <cell r="A91" t="str">
            <v>HSE250</v>
          </cell>
          <cell r="B91" t="str">
            <v>Safety Meetings</v>
          </cell>
          <cell r="C91" t="str">
            <v xml:space="preserve">Records related to general safety meetings and supporting documentation. for 6 years. (Does not include mandatory training or mandatory training attendance records; see HR320 and HR330.) </v>
          </cell>
          <cell r="D91" t="str">
            <v>6Y</v>
          </cell>
          <cell r="E91" t="str">
            <v xml:space="preserve">Creation Date  </v>
          </cell>
          <cell r="F91" t="str">
            <v>HS1070</v>
          </cell>
          <cell r="G91" t="str">
            <v xml:space="preserve">250HSE </v>
          </cell>
          <cell r="H91" t="str">
            <v>General</v>
          </cell>
          <cell r="I91" t="str">
            <v>HSE</v>
          </cell>
          <cell r="J91" t="str">
            <v>Vince Dziechciarz</v>
          </cell>
        </row>
        <row r="92">
          <cell r="A92" t="str">
            <v>HSE260</v>
          </cell>
          <cell r="B92" t="str">
            <v>Safety Compliance – Work Permits and Routine Safety Inspections</v>
          </cell>
          <cell r="C92" t="str">
            <v xml:space="preserve">Records related to compliance with work safety regulations including work safety permits, such as hot work, lock-out / tag-out, and confined space permits. Also includes routine safety checks and inspections of operating equipment.  Retain for 6 years. </v>
          </cell>
          <cell r="D92" t="str">
            <v>6Y</v>
          </cell>
          <cell r="E92" t="str">
            <v xml:space="preserve">Creation Date  </v>
          </cell>
          <cell r="F92" t="str">
            <v>HS1060</v>
          </cell>
          <cell r="G92" t="str">
            <v>260HSE</v>
          </cell>
          <cell r="H92" t="str">
            <v>General</v>
          </cell>
          <cell r="I92" t="str">
            <v>HSE</v>
          </cell>
          <cell r="J92" t="str">
            <v>Vince Dziechciarz</v>
          </cell>
        </row>
        <row r="93">
          <cell r="A93" t="str">
            <v>HSE270</v>
          </cell>
          <cell r="B93" t="str">
            <v>Safety Cases – Offshore Installations, Vessels and Platforms </v>
          </cell>
          <cell r="C93" t="str">
            <v>Reports submitted to offshore installations documenting the health and safety cases and verification schemes.  Include safety case correspondence.  Retain for the life of the offshore installation plus 7 years.</v>
          </cell>
          <cell r="D93" t="str">
            <v>EVT + 7Y</v>
          </cell>
          <cell r="E93" t="str">
            <v>Superseded/ Obsolete</v>
          </cell>
          <cell r="F93" t="str">
            <v>NA</v>
          </cell>
          <cell r="G93" t="str">
            <v>Not clearly stated</v>
          </cell>
          <cell r="H93" t="str">
            <v>Confidential</v>
          </cell>
          <cell r="I93" t="str">
            <v>HSE</v>
          </cell>
          <cell r="J93" t="str">
            <v>Vince Dziechciarz</v>
          </cell>
        </row>
        <row r="94">
          <cell r="A94" t="str">
            <v>HSE280</v>
          </cell>
          <cell r="B94" t="str">
            <v>Safety Compliance – Confined Space Safety Tests (Trinidad only)</v>
          </cell>
          <cell r="C94" t="str">
            <v>Records of confined space test results. Trinidad only.  Retain indefinitely subject to periodic assessment of ongoing value.</v>
          </cell>
          <cell r="D94" t="str">
            <v>IND</v>
          </cell>
          <cell r="E94" t="str">
            <v>No Value to Company</v>
          </cell>
          <cell r="F94" t="str">
            <v>NA</v>
          </cell>
          <cell r="G94" t="str">
            <v>NA</v>
          </cell>
          <cell r="H94" t="str">
            <v>Confidential</v>
          </cell>
          <cell r="I94" t="str">
            <v>HSE</v>
          </cell>
          <cell r="J94" t="str">
            <v>Vince Dziechciarz</v>
          </cell>
        </row>
        <row r="95">
          <cell r="A95" t="str">
            <v>HSE290</v>
          </cell>
          <cell r="B95" t="str">
            <v>Employee Hazardous Exposure Monitoring and Audiometric Testing</v>
          </cell>
          <cell r="C95" t="str">
            <v>Records documenting employee and contractor exposure to hazardous or toxic substances, such as lead, asbestos, radiation, etc..  Does not include occupational hazard and industrial hygiene monitoring records.  Retain for 40 years after employee terminates</v>
          </cell>
          <cell r="D95" t="str">
            <v>EVT + 40Y</v>
          </cell>
          <cell r="E95" t="str">
            <v>Employee Termination</v>
          </cell>
          <cell r="F95" t="str">
            <v>NA</v>
          </cell>
          <cell r="G95" t="str">
            <v>HR 230</v>
          </cell>
          <cell r="H95" t="str">
            <v>Highly Confidential</v>
          </cell>
          <cell r="I95" t="str">
            <v>HSE</v>
          </cell>
          <cell r="J95" t="str">
            <v>Vince Dziechciarz</v>
          </cell>
        </row>
        <row r="96">
          <cell r="A96" t="str">
            <v>HSE310</v>
          </cell>
          <cell r="B96" t="str">
            <v>Chemical Inventories and Lists</v>
          </cell>
          <cell r="C96" t="str">
            <v xml:space="preserve">Chemical inventory systems and toxic data, including US TSCA reports, Form R chemical inventory, and reports on emissions. Retain for 5 years. </v>
          </cell>
          <cell r="D96" t="str">
            <v>5Y</v>
          </cell>
          <cell r="E96" t="str">
            <v>Creation Date</v>
          </cell>
          <cell r="F96" t="str">
            <v>NA</v>
          </cell>
          <cell r="G96" t="str">
            <v>310HSE</v>
          </cell>
          <cell r="H96" t="str">
            <v>General</v>
          </cell>
          <cell r="I96" t="str">
            <v>HSE</v>
          </cell>
          <cell r="J96" t="str">
            <v>Vince Dziechciarz</v>
          </cell>
        </row>
        <row r="97">
          <cell r="A97" t="str">
            <v>HSE320</v>
          </cell>
          <cell r="B97" t="str">
            <v>Hazardous Waste Disposal</v>
          </cell>
          <cell r="C97" t="str">
            <v xml:space="preserve">Documentation related to the control, transfer, and disposal of hazardous waste, including manifests and certificates of disposal from third-party vendors. Retain for 30 years. </v>
          </cell>
          <cell r="D97" t="str">
            <v>30Y</v>
          </cell>
          <cell r="E97" t="str">
            <v>Creation Date</v>
          </cell>
          <cell r="F97" t="str">
            <v>HS1040</v>
          </cell>
          <cell r="G97" t="str">
            <v>320HSE</v>
          </cell>
          <cell r="H97" t="str">
            <v>General</v>
          </cell>
          <cell r="I97" t="str">
            <v>HSE</v>
          </cell>
          <cell r="J97" t="str">
            <v>Vince Dziechciarz</v>
          </cell>
        </row>
        <row r="98">
          <cell r="A98" t="str">
            <v>HSE330</v>
          </cell>
          <cell r="B98" t="str">
            <v>Safety Data Sheets (SDS)</v>
          </cell>
          <cell r="C98" t="str">
            <v xml:space="preserve">Safety Data Sheets used for tracking hazardous products in company facilities. Records must be retained for 30 years after removal of material from the facility. If removal date is unknown, retain indefinitely. </v>
          </cell>
          <cell r="D98" t="str">
            <v>EVT + 30Y</v>
          </cell>
          <cell r="E98" t="str">
            <v>Material Removed</v>
          </cell>
          <cell r="F98" t="str">
            <v>HS1050</v>
          </cell>
          <cell r="G98" t="str">
            <v>330HSE</v>
          </cell>
          <cell r="H98" t="str">
            <v>Confidential</v>
          </cell>
          <cell r="I98" t="str">
            <v>HSE</v>
          </cell>
          <cell r="J98" t="str">
            <v>Vince Dziechciarz</v>
          </cell>
        </row>
        <row r="99">
          <cell r="A99" t="str">
            <v>IT010</v>
          </cell>
          <cell r="B99" t="str">
            <v xml:space="preserve">Electronic System Monitoring </v>
          </cell>
          <cell r="C99" t="str">
            <v xml:space="preserve">Electronic files or logs created to monitor network system usage and security, including data entry logs, run sheets, network usage, and security logs. Retain for 5 years after information is superseded. </v>
          </cell>
          <cell r="D99" t="str">
            <v>EVT + 5Y</v>
          </cell>
          <cell r="E99" t="str">
            <v>Superseded /Obsolete</v>
          </cell>
          <cell r="F99" t="str">
            <v>Not clearly stated</v>
          </cell>
          <cell r="G99" t="str">
            <v>IT 010</v>
          </cell>
          <cell r="H99" t="str">
            <v>Confidential</v>
          </cell>
          <cell r="I99" t="str">
            <v>IDS</v>
          </cell>
          <cell r="J99" t="str">
            <v>Sandy Miller</v>
          </cell>
        </row>
        <row r="100">
          <cell r="A100" t="str">
            <v>IT020</v>
          </cell>
          <cell r="B100" t="str">
            <v>Hardware Documentation</v>
          </cell>
          <cell r="C100" t="str">
            <v xml:space="preserve">Records related to the design, use, operation, and maintenance of computer hardware, including network drawings and server configuration files. Retain for 7 years after the life of equipment. </v>
          </cell>
          <cell r="D100" t="str">
            <v>EVT + 7Y</v>
          </cell>
          <cell r="E100" t="str">
            <v>Life of Equipment</v>
          </cell>
          <cell r="F100" t="str">
            <v>MIS1030</v>
          </cell>
          <cell r="G100" t="str">
            <v>IT 020</v>
          </cell>
          <cell r="H100" t="str">
            <v>Confidential</v>
          </cell>
          <cell r="I100" t="str">
            <v>IDS</v>
          </cell>
          <cell r="J100" t="str">
            <v>Sandy Miller</v>
          </cell>
        </row>
        <row r="101">
          <cell r="A101" t="str">
            <v>IT030</v>
          </cell>
          <cell r="B101" t="str">
            <v>Help Desk</v>
          </cell>
          <cell r="C101" t="str">
            <v>Records related to the operation of computer help desk, including help desk tickets and updates to web sites. Retain for 5 years.</v>
          </cell>
          <cell r="D101" t="str">
            <v>5Y</v>
          </cell>
          <cell r="E101" t="str">
            <v>Creation Date</v>
          </cell>
          <cell r="F101" t="str">
            <v>MIS1040</v>
          </cell>
          <cell r="G101" t="str">
            <v>IT 030</v>
          </cell>
          <cell r="H101" t="str">
            <v>Confidential</v>
          </cell>
          <cell r="I101" t="str">
            <v>IDS</v>
          </cell>
          <cell r="J101" t="str">
            <v>Sandy Miller</v>
          </cell>
        </row>
        <row r="102">
          <cell r="A102" t="str">
            <v>IT040</v>
          </cell>
          <cell r="B102" t="str">
            <v>Report Writers and Data Warehouses</v>
          </cell>
          <cell r="C102" t="str">
            <v xml:space="preserve">Computer report writers and data warehouses, including common repository, saved queries, report formats, and data warehouses duplicating or accessing information in other applications. Retain for 5 years after data is superseded or obsolete. </v>
          </cell>
          <cell r="D102" t="str">
            <v>EVT + 5Y</v>
          </cell>
          <cell r="E102" t="str">
            <v>Superseded /Obsolete</v>
          </cell>
          <cell r="F102" t="str">
            <v>Not clearly stated</v>
          </cell>
          <cell r="G102" t="str">
            <v>IT 040</v>
          </cell>
          <cell r="H102" t="str">
            <v>Confidential</v>
          </cell>
          <cell r="I102" t="str">
            <v>IDS</v>
          </cell>
          <cell r="J102" t="str">
            <v>Sandy Miller</v>
          </cell>
        </row>
        <row r="103">
          <cell r="A103" t="str">
            <v>IT050</v>
          </cell>
          <cell r="B103" t="str">
            <v>System Backup Files</v>
          </cell>
          <cell r="C103" t="str">
            <v xml:space="preserve">Copies of master files or databases, application software, voice mail backups, logs,  directories, and other records needed to restore a system in the event of system failure. Retain per written procedures for a maximum of 1 year. Do not use backups for records retention purposes. </v>
          </cell>
          <cell r="D103" t="str">
            <v>MAX 1Y</v>
          </cell>
          <cell r="E103" t="str">
            <v>Creation Date</v>
          </cell>
          <cell r="F103" t="str">
            <v>Not clearly stated</v>
          </cell>
          <cell r="G103" t="str">
            <v>IT 050</v>
          </cell>
          <cell r="H103" t="str">
            <v>Confidential</v>
          </cell>
          <cell r="I103" t="str">
            <v>IDS</v>
          </cell>
          <cell r="J103" t="str">
            <v>Sandy Miller</v>
          </cell>
        </row>
        <row r="104">
          <cell r="A104" t="str">
            <v>IT060</v>
          </cell>
          <cell r="B104" t="str">
            <v>System User Authorizations</v>
          </cell>
          <cell r="C104" t="str">
            <v>Requests and authorizations for access to company electronic systems, including user login information. Retain for 5 years</v>
          </cell>
          <cell r="D104" t="str">
            <v>5Y</v>
          </cell>
          <cell r="E104" t="str">
            <v>Creation Date</v>
          </cell>
          <cell r="F104" t="str">
            <v>MIS1010</v>
          </cell>
          <cell r="G104" t="str">
            <v>IT 060</v>
          </cell>
          <cell r="H104" t="str">
            <v>Highly Confidential</v>
          </cell>
          <cell r="I104" t="str">
            <v>IDS</v>
          </cell>
          <cell r="J104" t="str">
            <v>Sandy Miller</v>
          </cell>
        </row>
        <row r="105">
          <cell r="A105" t="str">
            <v>IT070</v>
          </cell>
          <cell r="B105" t="str">
            <v>IT Security and Compliance</v>
          </cell>
          <cell r="C105" t="str">
            <v xml:space="preserve">System logs used to document access and use of secure computer systems such as financial systems or systems containing classified information. Also, records of risk analyses and system security audits for regulatory and IT policy compliance to ensure information integrity, availability and confidentiality. Retain for 6 years after the activity was completed. </v>
          </cell>
          <cell r="D105" t="str">
            <v>EVT + 6Y</v>
          </cell>
          <cell r="E105" t="str">
            <v>Creation Date</v>
          </cell>
          <cell r="F105"/>
          <cell r="G105"/>
          <cell r="H105" t="str">
            <v>Confidential</v>
          </cell>
          <cell r="I105" t="str">
            <v>IDS</v>
          </cell>
        </row>
        <row r="106">
          <cell r="A106" t="str">
            <v>IT110</v>
          </cell>
          <cell r="B106" t="str">
            <v xml:space="preserve">Application Development and File Documentation </v>
          </cell>
          <cell r="C106" t="str">
            <v xml:space="preserve">Records related to the content, structure, and technical specifications of computer systems necessary for retrieving information retained in machine-readable format. Includes documentation for initiating, developing, operating, and maintaining the system. Retain 5 years after destruction of all associated records. </v>
          </cell>
          <cell r="D106" t="str">
            <v>EVT + 5Y</v>
          </cell>
          <cell r="E106" t="str">
            <v>Destruction of Associated Records</v>
          </cell>
          <cell r="F106" t="str">
            <v>MIS1000</v>
          </cell>
          <cell r="G106" t="str">
            <v>IT 110</v>
          </cell>
          <cell r="H106" t="str">
            <v>Confidential</v>
          </cell>
          <cell r="I106" t="str">
            <v>IDS</v>
          </cell>
          <cell r="J106" t="str">
            <v>Sandy Miller</v>
          </cell>
        </row>
        <row r="107">
          <cell r="A107" t="str">
            <v>IT120</v>
          </cell>
          <cell r="B107" t="str">
            <v>Software Programs</v>
          </cell>
          <cell r="C107" t="str">
            <v xml:space="preserve">Records related to the implementation, use, and updates of computer software programs, including source code, maintenance logs, system change notices, and other records that document modifications to computer programs. Retain for 7 years after the software program is discontinued and the data from system is no longer retained. </v>
          </cell>
          <cell r="D107" t="str">
            <v>EVT + 7Y</v>
          </cell>
          <cell r="E107" t="str">
            <v>Superseded/ Obsolete</v>
          </cell>
          <cell r="F107" t="str">
            <v>MIS1020</v>
          </cell>
          <cell r="G107" t="str">
            <v>IT 120</v>
          </cell>
          <cell r="H107" t="str">
            <v>Confidential</v>
          </cell>
          <cell r="I107" t="str">
            <v>IDS</v>
          </cell>
          <cell r="J107" t="str">
            <v>Sandy Miller</v>
          </cell>
        </row>
        <row r="108">
          <cell r="A108" t="str">
            <v>IT130</v>
          </cell>
          <cell r="B108" t="str">
            <v>System Architecture Records</v>
          </cell>
          <cell r="C108" t="str">
            <v xml:space="preserve">Information documenting architecture, topology and configuration of networks, including wide area networks (WANs) and local area networks (LANs).  Retain for 3 years after the record is superseded or replaced. </v>
          </cell>
          <cell r="D108" t="str">
            <v>EVT + 3Y</v>
          </cell>
          <cell r="E108" t="str">
            <v>Superseded/ Obsolete</v>
          </cell>
          <cell r="F108"/>
          <cell r="G108"/>
          <cell r="H108" t="str">
            <v>Confidential</v>
          </cell>
          <cell r="I108" t="str">
            <v>IDS</v>
          </cell>
        </row>
        <row r="109">
          <cell r="A109" t="str">
            <v>LGL010</v>
          </cell>
          <cell r="B109" t="str">
            <v>Litigation Case Files, Claims, Court Orders, Decrees, and Settlements</v>
          </cell>
          <cell r="C109" t="str">
            <v xml:space="preserve">Records related to litigated, mediated, or arbitrated claims along with court orders, decrees, legal hold notices/revocations and settlement agreements. Retain for 10 years after issue is closed and all conditions met. </v>
          </cell>
          <cell r="D109" t="str">
            <v>EVT + 10Y</v>
          </cell>
          <cell r="E109" t="str">
            <v>Closed</v>
          </cell>
          <cell r="F109" t="str">
            <v>LEG1070</v>
          </cell>
          <cell r="G109" t="str">
            <v>010LGL, 040LGL, 050LGL</v>
          </cell>
          <cell r="H109" t="str">
            <v>Confidential</v>
          </cell>
          <cell r="I109" t="str">
            <v>Legal</v>
          </cell>
          <cell r="J109" t="str">
            <v>Denis Parlant</v>
          </cell>
        </row>
        <row r="110">
          <cell r="A110" t="str">
            <v>LGL020</v>
          </cell>
          <cell r="B110" t="str">
            <v>Customer Complaint</v>
          </cell>
          <cell r="C110" t="str">
            <v xml:space="preserve">Records related to the investigation of complaints regarding a Company product, including findings and follow-up actions. Retain for 10 years after the investigation is concluded and follow-up actions are completed. </v>
          </cell>
          <cell r="D110" t="str">
            <v>EVT + 10Y</v>
          </cell>
          <cell r="E110" t="str">
            <v>Resolved</v>
          </cell>
          <cell r="F110" t="str">
            <v>PRJ1070</v>
          </cell>
          <cell r="G110" t="str">
            <v>020LGL</v>
          </cell>
          <cell r="H110" t="str">
            <v>Confidential</v>
          </cell>
          <cell r="I110" t="str">
            <v>Legal</v>
          </cell>
          <cell r="J110" t="str">
            <v>Denis Parlant</v>
          </cell>
        </row>
        <row r="111">
          <cell r="A111" t="str">
            <v>LGL030</v>
          </cell>
          <cell r="B111" t="str">
            <v>Internal Investigations</v>
          </cell>
          <cell r="C111" t="str">
            <v>Internal investigations of employees, business practices, ethics, and vendors regarding theft, embezzlement, unethical practices, damage, unauthorized computer access, intellectual property, or fraud. Retain for 10 years after investigation is closed or resolved.</v>
          </cell>
          <cell r="D111" t="str">
            <v>EVT + 10Y</v>
          </cell>
          <cell r="E111" t="str">
            <v>Closed</v>
          </cell>
          <cell r="F111" t="str">
            <v>LEG1090, SEC1020</v>
          </cell>
          <cell r="G111" t="str">
            <v>030LGL</v>
          </cell>
          <cell r="H111" t="str">
            <v>Highly Confidential</v>
          </cell>
          <cell r="I111" t="str">
            <v>Legal</v>
          </cell>
          <cell r="J111" t="str">
            <v>Denis Parlant</v>
          </cell>
        </row>
        <row r="112">
          <cell r="A112" t="str">
            <v>LGL110</v>
          </cell>
          <cell r="B112" t="str">
            <v>Contracts / Agreements -Customers, Vendors or Subcontractors</v>
          </cell>
          <cell r="C112" t="str">
            <v xml:space="preserve">Executed contracts and agreements between the company and customers, vendors or subcontractors. Retain for 15 years after the termination of the contract. (See PRJ040 and PRJ080 for documentation supporting the contract) </v>
          </cell>
          <cell r="D112" t="str">
            <v>EVT + 15Y</v>
          </cell>
          <cell r="E112" t="str">
            <v>Termination of Contract</v>
          </cell>
          <cell r="F112" t="str">
            <v>BOP1030, LEG1000, LEG1010, LEG1130</v>
          </cell>
          <cell r="G112" t="str">
            <v>110LGL</v>
          </cell>
          <cell r="H112" t="str">
            <v>Confidential</v>
          </cell>
          <cell r="I112" t="str">
            <v>Legal</v>
          </cell>
          <cell r="J112" t="str">
            <v>Denis Parlant</v>
          </cell>
        </row>
        <row r="113">
          <cell r="A113" t="str">
            <v>LGL120</v>
          </cell>
          <cell r="B113" t="str">
            <v>Contracts / Agreements -General</v>
          </cell>
          <cell r="C113" t="str">
            <v xml:space="preserve">Executed contracts and agreements between the company and an outside party, including all documentation related to the contract and compliance with the contract. Retain for 10 years after the termination of the contract. (Does not include contracts between the Company and customers, or vendors; see LGL110L.)  </v>
          </cell>
          <cell r="D113" t="str">
            <v>EVT + 10Y</v>
          </cell>
          <cell r="E113" t="str">
            <v>Termination of Contract</v>
          </cell>
          <cell r="F113" t="str">
            <v>LEG1010</v>
          </cell>
          <cell r="G113" t="str">
            <v>130LGL</v>
          </cell>
          <cell r="H113" t="str">
            <v>Confidential</v>
          </cell>
          <cell r="I113" t="str">
            <v>Legal</v>
          </cell>
          <cell r="J113" t="str">
            <v>Denis Parlant</v>
          </cell>
        </row>
        <row r="114">
          <cell r="A114" t="str">
            <v>LGL130</v>
          </cell>
          <cell r="B114" t="str">
            <v>Legal and Regulatory Opinions</v>
          </cell>
          <cell r="C114" t="str">
            <v xml:space="preserve">Requests and responses for legal and regulatory opinions from internal and external counsel. Retain for 10 years. </v>
          </cell>
          <cell r="D114" t="str">
            <v>10Y</v>
          </cell>
          <cell r="E114" t="str">
            <v xml:space="preserve">Creation Date </v>
          </cell>
          <cell r="F114" t="str">
            <v>Not clearly stated</v>
          </cell>
          <cell r="G114" t="str">
            <v xml:space="preserve">170LGL </v>
          </cell>
          <cell r="H114" t="str">
            <v>Confidential</v>
          </cell>
          <cell r="I114" t="str">
            <v>Legal</v>
          </cell>
          <cell r="J114" t="str">
            <v>Denis Parlant</v>
          </cell>
        </row>
        <row r="115">
          <cell r="A115" t="str">
            <v>LGL140</v>
          </cell>
          <cell r="B115" t="str">
            <v>Real Property</v>
          </cell>
          <cell r="C115" t="str">
            <v xml:space="preserve">Real property purchases, leases, and deeds, including any related exhibits or addenda. Retain for 15 years after leases terminate or property is sold. </v>
          </cell>
          <cell r="D115" t="str">
            <v>EVT + 15Y</v>
          </cell>
          <cell r="E115" t="str">
            <v>Property Obligation Ceases</v>
          </cell>
          <cell r="F115" t="str">
            <v>AFT1150, FAC1020, INS1050, LEG1020</v>
          </cell>
          <cell r="G115" t="str">
            <v>180LGL</v>
          </cell>
          <cell r="H115" t="str">
            <v>Confidential</v>
          </cell>
          <cell r="I115" t="str">
            <v>Legal</v>
          </cell>
          <cell r="J115" t="str">
            <v>Denis Parlant</v>
          </cell>
        </row>
        <row r="116">
          <cell r="A116" t="str">
            <v>LGL210</v>
          </cell>
          <cell r="B116" t="str">
            <v>Legislative and Regulatory Activities</v>
          </cell>
          <cell r="C116" t="str">
            <v xml:space="preserve">Records related to influencing governmental legislature or regulations. Retain for 5 years after information is superseded or obsolete. </v>
          </cell>
          <cell r="D116" t="str">
            <v>EVT + 5Y</v>
          </cell>
          <cell r="E116" t="str">
            <v>Superseded /Obsolete</v>
          </cell>
          <cell r="F116" t="str">
            <v>Not clearly stated</v>
          </cell>
          <cell r="G116" t="str">
            <v>210LGL</v>
          </cell>
          <cell r="H116" t="str">
            <v>Confidential</v>
          </cell>
          <cell r="I116" t="str">
            <v>Legal</v>
          </cell>
          <cell r="J116" t="str">
            <v>Denis Parlant</v>
          </cell>
        </row>
        <row r="117">
          <cell r="A117" t="str">
            <v>LGL220</v>
          </cell>
          <cell r="B117" t="str">
            <v>Political Action Committees</v>
          </cell>
          <cell r="C117" t="str">
            <v xml:space="preserve">Records related to the formation and operation of Political Action Committees (PACs). Retain for 5 years after dissolution of the PAC. </v>
          </cell>
          <cell r="D117" t="str">
            <v>5Y</v>
          </cell>
          <cell r="E117" t="str">
            <v>Creation Date</v>
          </cell>
          <cell r="F117" t="str">
            <v>PUB1010</v>
          </cell>
          <cell r="G117" t="str">
            <v>220LGL</v>
          </cell>
          <cell r="H117" t="str">
            <v>Confidential</v>
          </cell>
          <cell r="I117" t="str">
            <v>Legal</v>
          </cell>
          <cell r="J117" t="str">
            <v>Denis Parlant</v>
          </cell>
        </row>
        <row r="118">
          <cell r="A118" t="str">
            <v>LGL230</v>
          </cell>
          <cell r="B118" t="str">
            <v>Regulatory Correspondence</v>
          </cell>
          <cell r="C118" t="str">
            <v xml:space="preserve">Correspondence with government agencies that regulate company activities. Retain for 7 years (Does not include correspondence with SEC or regulatory correspondence relating to HSE; see FIN440 and HSE010.) </v>
          </cell>
          <cell r="D118" t="str">
            <v>7Y</v>
          </cell>
          <cell r="E118" t="str">
            <v>Creation Date</v>
          </cell>
          <cell r="F118" t="str">
            <v>Not clearly stated</v>
          </cell>
          <cell r="G118" t="str">
            <v>230LGL</v>
          </cell>
          <cell r="H118" t="str">
            <v>Confidential</v>
          </cell>
          <cell r="I118" t="str">
            <v>Legal</v>
          </cell>
          <cell r="J118" t="str">
            <v>Denis Parlant</v>
          </cell>
        </row>
        <row r="119">
          <cell r="A119" t="str">
            <v>LGL310</v>
          </cell>
          <cell r="B119" t="str">
            <v>Intellectual Property – Patents, Copyrights and Trademarks</v>
          </cell>
          <cell r="C119" t="str">
            <v xml:space="preserve">Records relating to patents, copyrights and trademarks.  Includes product branding; documentation of production intellectual property; and the creation, registration, control, management, and enforcement of the company's trademarks and service marks, including logos and brands. Retain for 10 years after superseded or obsolete.  (Retain copy of trademark or service mark for historical reference; see COR110.) </v>
          </cell>
          <cell r="D119" t="str">
            <v>EVT + 10Y</v>
          </cell>
          <cell r="E119" t="str">
            <v>Superseded/ Obsolete</v>
          </cell>
          <cell r="F119" t="str">
            <v>LEG1040</v>
          </cell>
          <cell r="G119" t="str">
            <v>310LGL</v>
          </cell>
          <cell r="H119" t="str">
            <v>Highly Confidential</v>
          </cell>
          <cell r="I119" t="str">
            <v>Legal</v>
          </cell>
          <cell r="J119" t="str">
            <v>Denis Parlant</v>
          </cell>
        </row>
        <row r="120">
          <cell r="A120" t="str">
            <v>LGL410</v>
          </cell>
          <cell r="B120" t="str">
            <v>Disposition and Destruction Documentation</v>
          </cell>
          <cell r="C120" t="str">
            <v xml:space="preserve">Records documenting the destruction of records no longer required by the company, including requests, authorizations, and certificates of destruction. Retain for 10 years. </v>
          </cell>
          <cell r="D120" t="str">
            <v>10Y</v>
          </cell>
          <cell r="E120" t="str">
            <v>Creation Date</v>
          </cell>
          <cell r="F120" t="str">
            <v>AUD1040</v>
          </cell>
          <cell r="G120" t="str">
            <v>410LGL</v>
          </cell>
          <cell r="H120" t="str">
            <v>Confidential</v>
          </cell>
          <cell r="I120" t="str">
            <v>Legal</v>
          </cell>
          <cell r="J120" t="str">
            <v>Denis Parlant</v>
          </cell>
        </row>
        <row r="121">
          <cell r="A121" t="str">
            <v>LGL420</v>
          </cell>
          <cell r="B121" t="str">
            <v>Records Indices</v>
          </cell>
          <cell r="C121" t="str">
            <v xml:space="preserve">Electronic or physical indices, lists, registers, and inventories used to track or locate company records. Retain 5 years after superseded. </v>
          </cell>
          <cell r="D121" t="str">
            <v>EVT + 5Y</v>
          </cell>
          <cell r="E121" t="str">
            <v>Superseded /Obsolete</v>
          </cell>
          <cell r="F121" t="str">
            <v>Not clearly stated</v>
          </cell>
          <cell r="G121" t="str">
            <v>430LGL</v>
          </cell>
          <cell r="H121" t="str">
            <v>Confidential</v>
          </cell>
          <cell r="I121" t="str">
            <v>Legal</v>
          </cell>
          <cell r="J121" t="str">
            <v>Denis Parlant</v>
          </cell>
        </row>
        <row r="122">
          <cell r="A122" t="str">
            <v>PRJ010</v>
          </cell>
          <cell r="B122" t="str">
            <v>Engineering Administration</v>
          </cell>
          <cell r="C122" t="str">
            <v>Support records produced as part of engineering, design, construction and commissioning services provided to client. These records provide internal administrative support to the project team.  Retain for 10 years after the project is closed.</v>
          </cell>
          <cell r="D122" t="str">
            <v>EVT + 10Y</v>
          </cell>
          <cell r="E122" t="str">
            <v>Project Closed</v>
          </cell>
          <cell r="F122" t="str">
            <v>PRJ1000, PRJ1020, PRJ1030, PRJ1050, PRJ1060, PRJ1070, PRJ1220</v>
          </cell>
          <cell r="G122" t="str">
            <v>Not clearly stated</v>
          </cell>
          <cell r="H122" t="str">
            <v>Confidential</v>
          </cell>
          <cell r="J122" t="str">
            <v>Roy-Michael Gibson</v>
          </cell>
        </row>
        <row r="123">
          <cell r="A123" t="str">
            <v>PRJ020</v>
          </cell>
          <cell r="B123" t="str">
            <v>Engineering Design Records</v>
          </cell>
          <cell r="C123" t="str">
            <v>Records produced as part of engineering and design services. Also, records received from clients, vendors, subcontractors and partners with whom we are contracted to perform work for the project. Original engineering drawings and specifications maintained by engineers.  These records are the final approved version.  Retain for 30 years after the project is closed.</v>
          </cell>
          <cell r="D123" t="str">
            <v>EVT + 30Y</v>
          </cell>
          <cell r="E123" t="str">
            <v>Project Closed</v>
          </cell>
          <cell r="F123" t="str">
            <v>PRJ1040, PRJ1080, PRJ1090, PRJ1100, PRJ1150, PRJ1160, PRJ1170</v>
          </cell>
          <cell r="G123" t="str">
            <v>MFG 110</v>
          </cell>
          <cell r="H123" t="str">
            <v>Confidential</v>
          </cell>
          <cell r="J123" t="str">
            <v>Roy-Michael Gibson</v>
          </cell>
        </row>
        <row r="124">
          <cell r="A124" t="str">
            <v>PRJ030</v>
          </cell>
          <cell r="B124" t="str">
            <v>Equipment and Instrument Files </v>
          </cell>
          <cell r="C124" t="str">
            <v xml:space="preserve">Records related to the operation, testing, maintenance, and repair of equipment used in manufacturing and services operations, including maintenance reports, repair histories, calibration records, and operation logs. Retain for 15 years after the life of the equipment. </v>
          </cell>
          <cell r="D124" t="str">
            <v>EVT + 15Y</v>
          </cell>
          <cell r="E124" t="str">
            <v>Life of Equipment</v>
          </cell>
          <cell r="F124" t="str">
            <v>NA</v>
          </cell>
          <cell r="G124" t="str">
            <v>010MFG</v>
          </cell>
          <cell r="H124" t="str">
            <v>Confidential</v>
          </cell>
          <cell r="J124" t="str">
            <v>Roy-Michael Gibson</v>
          </cell>
        </row>
        <row r="125">
          <cell r="A125" t="str">
            <v>PRJ040</v>
          </cell>
          <cell r="B125" t="str">
            <v>Manufacturing Records</v>
          </cell>
          <cell r="C125" t="str">
            <v xml:space="preserve">Records related to contractual work performed for manufacturing customer, including customer correspondence, cost estimates, warranty information, contract copies, credit information, product tests, drawings and project specifications. Retain for 30 years after project closed. </v>
          </cell>
          <cell r="D125" t="str">
            <v>EVT + 30Y</v>
          </cell>
          <cell r="E125" t="str">
            <v>Project Closed</v>
          </cell>
          <cell r="F125" t="str">
            <v>BOP1070</v>
          </cell>
          <cell r="G125" t="str">
            <v>020MFG</v>
          </cell>
          <cell r="H125" t="str">
            <v>Confidential</v>
          </cell>
          <cell r="J125" t="str">
            <v>Roy-Michael Gibson</v>
          </cell>
        </row>
        <row r="126">
          <cell r="A126" t="str">
            <v>PRJ050</v>
          </cell>
          <cell r="B126" t="str">
            <v>Manufacturing Quality Control Reports and Reviews</v>
          </cell>
          <cell r="C126" t="str">
            <v>Reviews and reports to management on project quality matters and related analysis, including return material authorizations. Retain for 30 years after project closed</v>
          </cell>
          <cell r="D126" t="str">
            <v>EVT + 30Y</v>
          </cell>
          <cell r="E126" t="str">
            <v>Project Closed</v>
          </cell>
          <cell r="F126" t="str">
            <v>PRJ1080</v>
          </cell>
          <cell r="G126" t="str">
            <v>MFG 040</v>
          </cell>
          <cell r="H126" t="str">
            <v>Confidential</v>
          </cell>
          <cell r="J126" t="str">
            <v>Roy-Michael Gibson</v>
          </cell>
        </row>
        <row r="127">
          <cell r="A127" t="str">
            <v>PRJ060</v>
          </cell>
          <cell r="B127" t="str">
            <v>Manufacturing Vendor / Subcontractor Documentation</v>
          </cell>
          <cell r="C127" t="str">
            <v xml:space="preserve">Records related to contractual work performed or materials supplied by vendor or subcontractor for manufacturing customer, including cost estimates, evaluations, warranty information, contract copies, credit information, contractor/vendor correspondence, product tests, drawings and project specifications. Retain for 30 years after project closed. </v>
          </cell>
          <cell r="D127" t="str">
            <v>EVT + 30Y</v>
          </cell>
          <cell r="E127" t="str">
            <v>Project Closed</v>
          </cell>
          <cell r="F127" t="str">
            <v>PRJ1100</v>
          </cell>
          <cell r="G127" t="str">
            <v>MFG 050</v>
          </cell>
          <cell r="H127" t="str">
            <v>Confidential</v>
          </cell>
          <cell r="J127" t="str">
            <v>Roy-Michael Gibson</v>
          </cell>
        </row>
        <row r="128">
          <cell r="A128" t="str">
            <v>PRJ070</v>
          </cell>
          <cell r="B128" t="str">
            <v>Manufacturing Research and Development</v>
          </cell>
          <cell r="C128" t="str">
            <v>Records related to the in-house design and development of products, including research and development committee minutes, drawings, computer systems storing design data, pricing and cost. Retain for 1 year after life of company.</v>
          </cell>
          <cell r="D128" t="str">
            <v>EVT + 1Y</v>
          </cell>
          <cell r="E128" t="str">
            <v>Life of Company</v>
          </cell>
          <cell r="F128" t="str">
            <v>NA</v>
          </cell>
          <cell r="G128" t="str">
            <v>MFG 120, MFG 130</v>
          </cell>
          <cell r="H128" t="str">
            <v>Highly Confidential</v>
          </cell>
          <cell r="J128" t="str">
            <v>Roy-Michael Gibson</v>
          </cell>
        </row>
        <row r="129">
          <cell r="A129" t="str">
            <v>PRJ080</v>
          </cell>
          <cell r="B129" t="str">
            <v>Aftermarket, Support, and Service Project Documentation</v>
          </cell>
          <cell r="C129" t="str">
            <v>Records related to aftermarket sales, customer support and service/training programs provided to customer, including customer correspondence, cost estimates, and project specifications. Retain for 15 years after termination of contract or warranty expires.</v>
          </cell>
          <cell r="D129" t="str">
            <v>EVT + 15Y</v>
          </cell>
          <cell r="E129" t="str">
            <v>Termination of Contract or Warranty</v>
          </cell>
          <cell r="F129" t="str">
            <v>NA</v>
          </cell>
          <cell r="G129" t="str">
            <v>MFG 210</v>
          </cell>
          <cell r="H129" t="str">
            <v>Confidential</v>
          </cell>
          <cell r="J129" t="str">
            <v>Roy-Michael Gibson</v>
          </cell>
        </row>
        <row r="130">
          <cell r="A130" t="str">
            <v>PRJ090</v>
          </cell>
          <cell r="B130" t="str">
            <v>Construction and Commissioning Records</v>
          </cell>
          <cell r="C130" t="str">
            <v>Records related to the construction, commissioning and start-up of facilities, systems, and equipment by the Company for clients. These records document the pre-operational testing of facilities, systems, and equipment prior to turnover to the client.  Retain for 10 years after the project is closed.</v>
          </cell>
          <cell r="D130" t="str">
            <v>EVT + 10Y</v>
          </cell>
          <cell r="E130" t="str">
            <v>Project Closed</v>
          </cell>
          <cell r="F130" t="str">
            <v>PRJ1110, PRJ1120, PRJ1130</v>
          </cell>
          <cell r="G130" t="str">
            <v>NA</v>
          </cell>
          <cell r="H130" t="str">
            <v>Confidential</v>
          </cell>
          <cell r="J130" t="str">
            <v>Roy-Michael Gibson</v>
          </cell>
        </row>
        <row r="131">
          <cell r="A131" t="str">
            <v>PRJ100</v>
          </cell>
          <cell r="B131" t="str">
            <v>Diving Services</v>
          </cell>
          <cell r="C131" t="str">
            <v>Records related to subsea diving services. Retain for 5 years after the diving operation is complete. For medical records see HR220</v>
          </cell>
          <cell r="D131" t="str">
            <v>5Y</v>
          </cell>
          <cell r="E131" t="str">
            <v>Creation Date</v>
          </cell>
          <cell r="F131" t="str">
            <v>SUB1000</v>
          </cell>
          <cell r="G131" t="str">
            <v>NA</v>
          </cell>
          <cell r="H131" t="str">
            <v>Highly Confidential</v>
          </cell>
          <cell r="I131" t="str">
            <v>Diving</v>
          </cell>
          <cell r="J131" t="str">
            <v>David Crane</v>
          </cell>
        </row>
        <row r="132">
          <cell r="A132" t="str">
            <v>PRJ110</v>
          </cell>
          <cell r="B132" t="str">
            <v>Vessel Ownership, Operations, Use and Equipment Records </v>
          </cell>
          <cell r="C132" t="str">
            <v>Records that document vessel ownership, operations and how equipment on the vessel was maintained. These include handover notes, records of maintenance, inspection, and administrative records related to maintaining equipment on the vessel.  Retain for 30 years after vessel is sold.</v>
          </cell>
          <cell r="D132" t="str">
            <v>EVT + 30Y</v>
          </cell>
          <cell r="E132" t="str">
            <v>Vessel Sold</v>
          </cell>
          <cell r="F132" t="str">
            <v>SUB1010, SUB1020, SUB1030, SUB1040, SUB1050</v>
          </cell>
          <cell r="G132" t="str">
            <v>NA</v>
          </cell>
          <cell r="H132" t="str">
            <v>Confidential</v>
          </cell>
          <cell r="I132" t="str">
            <v>Vessel</v>
          </cell>
          <cell r="J132" t="str">
            <v>Chris Campbell</v>
          </cell>
        </row>
        <row r="133">
          <cell r="A133" t="str">
            <v>PRJ120</v>
          </cell>
          <cell r="B133" t="str">
            <v>Diving Equipment  </v>
          </cell>
          <cell r="C133" t="str">
            <v>Records that document how diving equipment was maintained. These include records of maintenance, inspection, and administrative records related to maintaining equipment on the vessel. Retain for 30 years after equipment is sold.</v>
          </cell>
          <cell r="D133" t="str">
            <v>EVT + 30Y</v>
          </cell>
          <cell r="E133" t="str">
            <v>Equipment Sold</v>
          </cell>
          <cell r="F133" t="str">
            <v>DIV1000</v>
          </cell>
          <cell r="G133" t="str">
            <v>NA</v>
          </cell>
          <cell r="H133" t="str">
            <v>General</v>
          </cell>
          <cell r="I133" t="str">
            <v>Diving</v>
          </cell>
          <cell r="J133" t="str">
            <v>David Crane</v>
          </cell>
        </row>
        <row r="134">
          <cell r="A134" t="str">
            <v>PRJ130</v>
          </cell>
          <cell r="B134" t="str">
            <v>Remote Operating Vehicles </v>
          </cell>
          <cell r="C134" t="str">
            <v>Records related to ROV activities and services performed for subsea installation. Retain for 10 years after the contract closed.</v>
          </cell>
          <cell r="D134" t="str">
            <v>EVT + 10Y</v>
          </cell>
          <cell r="E134" t="str">
            <v>Closed</v>
          </cell>
          <cell r="F134" t="str">
            <v>NA</v>
          </cell>
          <cell r="G134" t="str">
            <v>NA</v>
          </cell>
          <cell r="H134" t="str">
            <v>Confidential</v>
          </cell>
          <cell r="I134" t="str">
            <v>ROV</v>
          </cell>
          <cell r="J134" t="str">
            <v>Jeff Small</v>
          </cell>
        </row>
        <row r="135">
          <cell r="A135" t="str">
            <v>SMK010</v>
          </cell>
          <cell r="B135" t="str">
            <v>Advertising</v>
          </cell>
          <cell r="C135" t="str">
            <v>Company advertising related to TechnipFMC products. Retain for 6 years after termination of advertising. (Retain copy for historical reference; see COR110.)</v>
          </cell>
          <cell r="D135" t="str">
            <v>EVT + 6Y</v>
          </cell>
          <cell r="E135" t="str">
            <v>Superseded/ Obsolete</v>
          </cell>
          <cell r="F135" t="str">
            <v>Not clearly stated</v>
          </cell>
          <cell r="G135" t="str">
            <v>SMK 010</v>
          </cell>
          <cell r="H135" t="str">
            <v>Public</v>
          </cell>
          <cell r="I135" t="str">
            <v>Communications</v>
          </cell>
          <cell r="J135" t="str">
            <v>Brooke Robertson</v>
          </cell>
        </row>
        <row r="136">
          <cell r="A136" t="str">
            <v>SMK020</v>
          </cell>
          <cell r="B136" t="str">
            <v>Company Publications</v>
          </cell>
          <cell r="C136" t="str">
            <v>Magazines, journals, presentations, intranet, and other publications produced or sponsored by the company. Retain for 5 years from date of publication. (Retain copy for historical reference; see COR110.)</v>
          </cell>
          <cell r="D136" t="str">
            <v>5Y</v>
          </cell>
          <cell r="E136" t="str">
            <v>Publication Date</v>
          </cell>
          <cell r="F136" t="str">
            <v>REF1010</v>
          </cell>
          <cell r="G136" t="str">
            <v>SMK 020</v>
          </cell>
          <cell r="H136" t="str">
            <v>Public</v>
          </cell>
          <cell r="I136" t="str">
            <v>Communications</v>
          </cell>
          <cell r="J136" t="str">
            <v>Brooke Robertson</v>
          </cell>
        </row>
        <row r="137">
          <cell r="A137" t="str">
            <v>SMK030</v>
          </cell>
          <cell r="B137" t="str">
            <v>Public and Media Relations</v>
          </cell>
          <cell r="C137" t="str">
            <v>Communications with the press, press releases, and other communications disseminated to the public from date of publication. Retain for 1 year after life of company.  (Does not include advertising; see SMK010.)</v>
          </cell>
          <cell r="D137" t="str">
            <v>EVT + 1Y</v>
          </cell>
          <cell r="E137" t="str">
            <v>Life of Company</v>
          </cell>
          <cell r="F137" t="str">
            <v>Not clearly stated</v>
          </cell>
          <cell r="G137" t="str">
            <v>SMK 030</v>
          </cell>
          <cell r="H137" t="str">
            <v>Public</v>
          </cell>
          <cell r="I137" t="str">
            <v>Communications</v>
          </cell>
          <cell r="J137" t="str">
            <v>Brooke Robertson</v>
          </cell>
        </row>
        <row r="138">
          <cell r="A138" t="str">
            <v>SMK040</v>
          </cell>
          <cell r="B138" t="str">
            <v>Charitable Giving</v>
          </cell>
          <cell r="C138" t="str">
            <v>Records related to corporate sponsorships, corporate foundation grants, and charitable contributions made by the Company and/or its employees.</v>
          </cell>
          <cell r="D138" t="str">
            <v>5Y</v>
          </cell>
          <cell r="E138" t="str">
            <v>Creation Date</v>
          </cell>
          <cell r="F138"/>
          <cell r="G138"/>
          <cell r="H138" t="str">
            <v>General</v>
          </cell>
          <cell r="I138" t="str">
            <v>Communications</v>
          </cell>
        </row>
        <row r="139">
          <cell r="A139" t="str">
            <v>SMK110</v>
          </cell>
          <cell r="B139" t="str">
            <v>Marketing Research and Planning</v>
          </cell>
          <cell r="C139" t="str">
            <v xml:space="preserve">Market studies and research, including consultant reports, consumer surveys, competitor profiles and comparisons, etc. Retain for 7 years. </v>
          </cell>
          <cell r="D139" t="str">
            <v>7Y</v>
          </cell>
          <cell r="E139" t="str">
            <v>Creation Date</v>
          </cell>
          <cell r="F139" t="str">
            <v>BDT1000</v>
          </cell>
          <cell r="G139" t="str">
            <v>110SMK</v>
          </cell>
          <cell r="H139" t="str">
            <v>Highly Confidential</v>
          </cell>
          <cell r="I139" t="str">
            <v>Communications</v>
          </cell>
          <cell r="J139" t="str">
            <v>Brooke Robertson</v>
          </cell>
        </row>
        <row r="140">
          <cell r="A140" t="str">
            <v>SMK120</v>
          </cell>
          <cell r="B140" t="str">
            <v>Promotional Assets</v>
          </cell>
          <cell r="C140" t="str">
            <v xml:space="preserve">Promotional assets used in advertising, sales, web pages, videos, presentations, audio, and other promotional material, including artwork and graphics, assessment of ongoing value. electronic images, graphic databases, and web content. Retain indefinitely subject to periodic </v>
          </cell>
          <cell r="D140" t="str">
            <v>IND</v>
          </cell>
          <cell r="E140" t="str">
            <v>No Value to Company</v>
          </cell>
          <cell r="F140" t="str">
            <v>Not clearly stated</v>
          </cell>
          <cell r="G140" t="str">
            <v>120SMK</v>
          </cell>
          <cell r="H140" t="str">
            <v>Public</v>
          </cell>
          <cell r="I140" t="str">
            <v>Communications</v>
          </cell>
          <cell r="J140" t="str">
            <v>Brooke Robertson</v>
          </cell>
        </row>
        <row r="141">
          <cell r="A141" t="str">
            <v>SMK210</v>
          </cell>
          <cell r="B141" t="str">
            <v>Project Proposals -Rejected</v>
          </cell>
          <cell r="C141" t="str">
            <v xml:space="preserve">Records related to any proposals made to an outside party regarding materials or services that were rejected by either the Company or the customer. Retain for 3 years after project is rejected. (Does not include accepted proposals; see PRJ040 and PRJ080).  </v>
          </cell>
          <cell r="D141" t="str">
            <v>EVT + 5Y</v>
          </cell>
          <cell r="E141" t="str">
            <v>Project Rejected</v>
          </cell>
          <cell r="F141" t="str">
            <v>BDT1030</v>
          </cell>
          <cell r="G141" t="str">
            <v>210SMK</v>
          </cell>
          <cell r="H141" t="str">
            <v>Confidential</v>
          </cell>
          <cell r="I141" t="str">
            <v>Business Development</v>
          </cell>
          <cell r="J141" t="str">
            <v>Kyle Hoelscher</v>
          </cell>
        </row>
        <row r="142">
          <cell r="A142" t="str">
            <v>SMK220</v>
          </cell>
          <cell r="B142" t="str">
            <v>Sales and Training Presentations</v>
          </cell>
          <cell r="C142" t="str">
            <v xml:space="preserve">Records related to the presentation of sales and marketing of manufactured products by representatives of the company. Retain for 15 years after the presentation is superseded or obsolete. </v>
          </cell>
          <cell r="D142" t="str">
            <v xml:space="preserve">EVT + 15Y </v>
          </cell>
          <cell r="E142" t="str">
            <v>Superseded/ Obsolete</v>
          </cell>
          <cell r="F142" t="str">
            <v>BDT1030</v>
          </cell>
          <cell r="G142" t="str">
            <v>230SMK</v>
          </cell>
          <cell r="H142" t="str">
            <v>Confidential</v>
          </cell>
          <cell r="I142" t="str">
            <v>Business Development</v>
          </cell>
          <cell r="J142" t="str">
            <v>Kyle Hoelscher</v>
          </cell>
        </row>
        <row r="143">
          <cell r="A143"/>
          <cell r="B143"/>
        </row>
      </sheetData>
      <sheetData sheetId="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F5C531E-DFCC-48A0-BAF2-50866ACD90E4}">
  <we:reference id="db18cc72-1a17-45df-b60e-7ffb655e8af5" version="1.0.0.2" store="EXCatalog" storeType="EXCatalog"/>
  <we:alternateReferences>
    <we:reference id="WA104381701" version="1.0.0.2"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Svetlana.Marulina@technipenergies.com" TargetMode="External"/><Relationship Id="rId3" Type="http://schemas.openxmlformats.org/officeDocument/2006/relationships/hyperlink" Target="mailto:Laila.Nurwahyunita@technipenergies.com;%20Julia.Hidayat@technipenergies.com;%20Danang.Damandjaja@technipenergies.com" TargetMode="External"/><Relationship Id="rId7" Type="http://schemas.openxmlformats.org/officeDocument/2006/relationships/hyperlink" Target="mailto:charlotte.harris@genesisenergies.com" TargetMode="External"/><Relationship Id="rId2" Type="http://schemas.openxmlformats.org/officeDocument/2006/relationships/hyperlink" Target="mailto:JGuevara@tipiel.com.co" TargetMode="External"/><Relationship Id="rId1" Type="http://schemas.openxmlformats.org/officeDocument/2006/relationships/hyperlink" Target="mailto:arnold.delacruz@technipenergies.com" TargetMode="External"/><Relationship Id="rId6" Type="http://schemas.openxmlformats.org/officeDocument/2006/relationships/hyperlink" Target="mailto:jasper.dijkstra@technipenergies.com" TargetMode="External"/><Relationship Id="rId5" Type="http://schemas.openxmlformats.org/officeDocument/2006/relationships/hyperlink" Target="mailto:massimo.gallitto@technipenergies.com" TargetMode="External"/><Relationship Id="rId4" Type="http://schemas.openxmlformats.org/officeDocument/2006/relationships/hyperlink" Target="mailto:amanda.mcsweeney@technipenergies.com" TargetMode="Externa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55"/>
  <sheetViews>
    <sheetView tabSelected="1" view="pageLayout" zoomScale="70" zoomScaleNormal="100" zoomScalePageLayoutView="70" workbookViewId="0">
      <selection activeCell="P2" sqref="P2"/>
    </sheetView>
  </sheetViews>
  <sheetFormatPr defaultColWidth="9.33203125" defaultRowHeight="13.8" x14ac:dyDescent="0.25"/>
  <cols>
    <col min="1" max="1" width="12.6640625" style="1" bestFit="1" customWidth="1"/>
    <col min="2" max="2" width="11.33203125" style="1" customWidth="1"/>
    <col min="3" max="3" width="10.33203125" style="1" customWidth="1"/>
    <col min="4" max="4" width="12.6640625" style="1" customWidth="1"/>
    <col min="5" max="5" width="8.6640625" style="1" customWidth="1"/>
    <col min="6" max="6" width="12.33203125" style="1" customWidth="1"/>
    <col min="7" max="7" width="19.33203125" style="1" customWidth="1"/>
    <col min="8" max="8" width="9.6640625" style="1" bestFit="1" customWidth="1"/>
    <col min="9" max="9" width="10.44140625" style="1" bestFit="1" customWidth="1"/>
    <col min="10" max="10" width="10.44140625" style="1" customWidth="1"/>
    <col min="11" max="11" width="13.5546875" style="1" customWidth="1"/>
    <col min="12" max="12" width="27.33203125" style="1" customWidth="1"/>
    <col min="13" max="13" width="11.33203125" style="1" customWidth="1"/>
    <col min="14" max="14" width="10.5546875" style="1" customWidth="1"/>
    <col min="15" max="15" width="12.44140625" style="1" customWidth="1"/>
    <col min="16" max="18" width="10.5546875" style="1" customWidth="1"/>
    <col min="19" max="19" width="10.44140625" style="1" customWidth="1"/>
    <col min="20" max="16384" width="9.33203125" style="1"/>
  </cols>
  <sheetData>
    <row r="1" spans="1:19" ht="40.5" customHeight="1" thickBot="1" x14ac:dyDescent="0.3">
      <c r="A1" s="53" t="s">
        <v>0</v>
      </c>
      <c r="B1" s="53"/>
      <c r="C1" s="53"/>
      <c r="D1" s="53"/>
      <c r="E1" s="53"/>
      <c r="F1" s="53"/>
      <c r="G1" s="53"/>
      <c r="H1" s="53"/>
      <c r="I1" s="53"/>
      <c r="J1" s="53"/>
      <c r="K1" s="53"/>
      <c r="L1" s="46" t="s">
        <v>1</v>
      </c>
      <c r="M1" s="54" t="str">
        <f>VLOOKUP(B3,Riferimento!M3:O45,3,0)</f>
        <v>archiviogenerale@ten.com</v>
      </c>
      <c r="N1" s="54"/>
      <c r="O1" s="54"/>
      <c r="P1" s="54"/>
      <c r="Q1" s="54"/>
      <c r="R1" s="54"/>
      <c r="S1" s="54"/>
    </row>
    <row r="2" spans="1:19" ht="33.6" customHeight="1" x14ac:dyDescent="0.25">
      <c r="A2" s="21" t="s">
        <v>2</v>
      </c>
      <c r="B2" s="21" t="s">
        <v>3</v>
      </c>
      <c r="C2" s="21" t="s">
        <v>4</v>
      </c>
      <c r="D2" s="21" t="s">
        <v>5</v>
      </c>
      <c r="E2" s="22" t="s">
        <v>6</v>
      </c>
      <c r="F2" s="21" t="s">
        <v>7</v>
      </c>
      <c r="G2" s="23" t="s">
        <v>8</v>
      </c>
      <c r="H2" s="23" t="s">
        <v>9</v>
      </c>
      <c r="I2" s="23" t="s">
        <v>10</v>
      </c>
      <c r="J2" s="23" t="s">
        <v>11</v>
      </c>
      <c r="K2" s="23" t="s">
        <v>12</v>
      </c>
      <c r="L2" s="23" t="s">
        <v>13</v>
      </c>
      <c r="M2" s="21" t="s">
        <v>14</v>
      </c>
      <c r="N2" s="21" t="s">
        <v>15</v>
      </c>
      <c r="O2" s="40" t="s">
        <v>16</v>
      </c>
      <c r="P2" s="40" t="s">
        <v>17</v>
      </c>
      <c r="Q2" s="24" t="s">
        <v>18</v>
      </c>
      <c r="R2" s="32" t="s">
        <v>19</v>
      </c>
      <c r="S2" s="32" t="s">
        <v>20</v>
      </c>
    </row>
    <row r="3" spans="1:19" ht="23.7" customHeight="1" x14ac:dyDescent="0.25">
      <c r="A3" s="18"/>
      <c r="B3" s="18" t="s">
        <v>21</v>
      </c>
      <c r="C3" s="18" t="str">
        <f>VLOOKUP(B3, Riferimento!M$3:N45, 2, 0)</f>
        <v>Italy</v>
      </c>
      <c r="D3" s="18"/>
      <c r="E3" s="18"/>
      <c r="F3" s="2" t="e">
        <f>VLOOKUP(E3,Riferimento!$E$3:$H$183,3,FALSE)</f>
        <v>#N/A</v>
      </c>
      <c r="G3" s="2" t="e">
        <f>VLOOKUP(E3,Riferimento!$E$3:$H$181,2,FALSE)</f>
        <v>#N/A</v>
      </c>
      <c r="H3" s="25"/>
      <c r="I3" s="25"/>
      <c r="J3" s="25"/>
      <c r="K3" s="25"/>
      <c r="L3" s="18"/>
      <c r="M3" s="2" t="e">
        <f>VLOOKUP(E3,Riferimento!$E$3:$H$181,4,FALSE)</f>
        <v>#N/A</v>
      </c>
      <c r="N3" s="25"/>
      <c r="O3" s="43" t="e">
        <f>VLOOKUP(E3,Riferimento!$E$3:$I$181,5,FALSE)</f>
        <v>#N/A</v>
      </c>
      <c r="P3" s="44" t="e">
        <f>N3+O3</f>
        <v>#N/A</v>
      </c>
      <c r="Q3" s="44" t="e">
        <f>VLOOKUP(E3,Riferimento!$E$3:$J$181,6,FALSE)</f>
        <v>#N/A</v>
      </c>
      <c r="R3" s="25"/>
      <c r="S3" s="33"/>
    </row>
    <row r="4" spans="1:19" x14ac:dyDescent="0.25">
      <c r="A4" s="19"/>
      <c r="B4" s="18"/>
      <c r="C4" s="18" t="e">
        <f>VLOOKUP(B4, Riferimento!M$3:N46, 2, 0)</f>
        <v>#N/A</v>
      </c>
      <c r="D4" s="18"/>
      <c r="E4" s="18"/>
      <c r="F4" s="2" t="e">
        <f>VLOOKUP(E4,Riferimento!$E$3:$H$183,3,FALSE)</f>
        <v>#N/A</v>
      </c>
      <c r="G4" s="2" t="e">
        <f>VLOOKUP(E4,Riferimento!$E$3:$H$181,2,FALSE)</f>
        <v>#N/A</v>
      </c>
      <c r="H4" s="25"/>
      <c r="I4" s="25"/>
      <c r="J4" s="25"/>
      <c r="K4" s="25"/>
      <c r="L4" s="18"/>
      <c r="M4" s="2" t="e">
        <f>VLOOKUP(E4,Riferimento!$E$3:$H$181,4,FALSE)</f>
        <v>#N/A</v>
      </c>
      <c r="N4" s="25"/>
      <c r="O4" s="43" t="e">
        <f>VLOOKUP(E4,Riferimento!$E$3:$I$181,5,FALSE)</f>
        <v>#N/A</v>
      </c>
      <c r="P4" s="44" t="e">
        <f t="shared" ref="P4:P55" si="0">N4+O4</f>
        <v>#N/A</v>
      </c>
      <c r="Q4" s="44" t="e">
        <f>VLOOKUP(E4,Riferimento!$E$3:$J$181,6,FALSE)</f>
        <v>#N/A</v>
      </c>
      <c r="R4" s="25"/>
      <c r="S4" s="33"/>
    </row>
    <row r="5" spans="1:19" x14ac:dyDescent="0.25">
      <c r="A5" s="19"/>
      <c r="B5" s="18"/>
      <c r="C5" s="18" t="e">
        <f>VLOOKUP(B5, Riferimento!M$3:N47, 2, 0)</f>
        <v>#N/A</v>
      </c>
      <c r="D5" s="18"/>
      <c r="E5" s="18"/>
      <c r="F5" s="2" t="e">
        <f>VLOOKUP(E5,Riferimento!$E$3:$H$183,3,FALSE)</f>
        <v>#N/A</v>
      </c>
      <c r="G5" s="2" t="e">
        <f>VLOOKUP(E5,Riferimento!$E$3:$H$181,2,FALSE)</f>
        <v>#N/A</v>
      </c>
      <c r="H5" s="25"/>
      <c r="I5" s="25"/>
      <c r="J5" s="25"/>
      <c r="K5" s="25"/>
      <c r="L5" s="18"/>
      <c r="M5" s="2" t="e">
        <f>VLOOKUP(E5,Riferimento!$E$3:$H$181,4,FALSE)</f>
        <v>#N/A</v>
      </c>
      <c r="N5" s="25"/>
      <c r="O5" s="43" t="e">
        <f>VLOOKUP(E5,Riferimento!$E$3:$I$181,5,FALSE)</f>
        <v>#N/A</v>
      </c>
      <c r="P5" s="44" t="e">
        <f t="shared" si="0"/>
        <v>#N/A</v>
      </c>
      <c r="Q5" s="44" t="e">
        <f>VLOOKUP(E5,Riferimento!$E$3:$J$181,6,FALSE)</f>
        <v>#N/A</v>
      </c>
      <c r="R5" s="25"/>
      <c r="S5" s="33"/>
    </row>
    <row r="6" spans="1:19" x14ac:dyDescent="0.25">
      <c r="A6" s="20"/>
      <c r="B6" s="18"/>
      <c r="C6" s="18" t="e">
        <f>VLOOKUP(B6, Riferimento!M$3:N48, 2, 0)</f>
        <v>#N/A</v>
      </c>
      <c r="D6" s="20"/>
      <c r="E6" s="18"/>
      <c r="F6" s="2" t="e">
        <f>VLOOKUP(E6,Riferimento!$E$3:$H$183,3,FALSE)</f>
        <v>#N/A</v>
      </c>
      <c r="G6" s="2" t="e">
        <f>VLOOKUP(E6,Riferimento!$E$3:$H$181,2,FALSE)</f>
        <v>#N/A</v>
      </c>
      <c r="H6" s="26"/>
      <c r="I6" s="26"/>
      <c r="J6" s="31"/>
      <c r="K6" s="31"/>
      <c r="L6" s="18"/>
      <c r="M6" s="2" t="e">
        <f>VLOOKUP(E6,Riferimento!$E$3:$H$181,4,FALSE)</f>
        <v>#N/A</v>
      </c>
      <c r="N6" s="25"/>
      <c r="O6" s="43" t="e">
        <f>VLOOKUP(E6,Riferimento!$E$3:$I$181,5,FALSE)</f>
        <v>#N/A</v>
      </c>
      <c r="P6" s="44" t="e">
        <f t="shared" si="0"/>
        <v>#N/A</v>
      </c>
      <c r="Q6" s="44" t="e">
        <f>VLOOKUP(E6,Riferimento!$E$3:$J$181,6,FALSE)</f>
        <v>#N/A</v>
      </c>
      <c r="R6" s="25"/>
      <c r="S6" s="34"/>
    </row>
    <row r="7" spans="1:19" x14ac:dyDescent="0.25">
      <c r="A7" s="20"/>
      <c r="B7" s="18"/>
      <c r="C7" s="18" t="e">
        <f>VLOOKUP(B7, Riferimento!M$3:N49, 2, 0)</f>
        <v>#N/A</v>
      </c>
      <c r="D7" s="20"/>
      <c r="E7" s="18"/>
      <c r="F7" s="2" t="e">
        <f>VLOOKUP(E7,Riferimento!$E$3:$H$183,3,FALSE)</f>
        <v>#N/A</v>
      </c>
      <c r="G7" s="2" t="e">
        <f>VLOOKUP(E7,Riferimento!$E$3:$H$181,2,FALSE)</f>
        <v>#N/A</v>
      </c>
      <c r="H7" s="26"/>
      <c r="I7" s="26"/>
      <c r="J7" s="31"/>
      <c r="K7" s="31"/>
      <c r="L7" s="18"/>
      <c r="M7" s="2" t="e">
        <f>VLOOKUP(E7,Riferimento!$E$3:$H$181,4,FALSE)</f>
        <v>#N/A</v>
      </c>
      <c r="N7" s="25"/>
      <c r="O7" s="43" t="e">
        <f>VLOOKUP(E7,Riferimento!$E$3:$I$181,5,FALSE)</f>
        <v>#N/A</v>
      </c>
      <c r="P7" s="44" t="e">
        <f t="shared" si="0"/>
        <v>#N/A</v>
      </c>
      <c r="Q7" s="44" t="e">
        <f>VLOOKUP(E7,Riferimento!$E$3:$J$181,6,FALSE)</f>
        <v>#N/A</v>
      </c>
      <c r="R7" s="25"/>
      <c r="S7" s="34"/>
    </row>
    <row r="8" spans="1:19" x14ac:dyDescent="0.25">
      <c r="A8" s="20"/>
      <c r="B8" s="18"/>
      <c r="C8" s="18" t="e">
        <f>VLOOKUP(B8, Riferimento!M$3:N50, 2, 0)</f>
        <v>#N/A</v>
      </c>
      <c r="D8" s="20"/>
      <c r="E8" s="18"/>
      <c r="F8" s="2" t="e">
        <f>VLOOKUP(E8,Riferimento!$E$3:$H$183,3,FALSE)</f>
        <v>#N/A</v>
      </c>
      <c r="G8" s="2" t="e">
        <f>VLOOKUP(E8,Riferimento!$E$3:$H$181,2,FALSE)</f>
        <v>#N/A</v>
      </c>
      <c r="H8" s="26"/>
      <c r="I8" s="26"/>
      <c r="J8" s="31"/>
      <c r="K8" s="31"/>
      <c r="L8" s="18"/>
      <c r="M8" s="2" t="e">
        <f>VLOOKUP(E8,Riferimento!$E$3:$H$181,4,FALSE)</f>
        <v>#N/A</v>
      </c>
      <c r="N8" s="25"/>
      <c r="O8" s="43" t="e">
        <f>VLOOKUP(E8,Riferimento!$E$3:$I$181,5,FALSE)</f>
        <v>#N/A</v>
      </c>
      <c r="P8" s="44" t="e">
        <f t="shared" si="0"/>
        <v>#N/A</v>
      </c>
      <c r="Q8" s="44" t="e">
        <f>VLOOKUP(E8,Riferimento!$E$3:$J$181,6,FALSE)</f>
        <v>#N/A</v>
      </c>
      <c r="R8" s="25"/>
      <c r="S8" s="34"/>
    </row>
    <row r="9" spans="1:19" x14ac:dyDescent="0.25">
      <c r="A9" s="20"/>
      <c r="B9" s="18"/>
      <c r="C9" s="18" t="e">
        <f>VLOOKUP(B9, Riferimento!M$3:N51, 2, 0)</f>
        <v>#N/A</v>
      </c>
      <c r="D9" s="20"/>
      <c r="E9" s="18"/>
      <c r="F9" s="2" t="e">
        <f>VLOOKUP(E9,Riferimento!$E$3:$H$183,3,FALSE)</f>
        <v>#N/A</v>
      </c>
      <c r="G9" s="2" t="e">
        <f>VLOOKUP(E9,Riferimento!$E$3:$H$181,2,FALSE)</f>
        <v>#N/A</v>
      </c>
      <c r="H9" s="26"/>
      <c r="I9" s="26"/>
      <c r="J9" s="31"/>
      <c r="K9" s="31"/>
      <c r="L9" s="18"/>
      <c r="M9" s="2" t="e">
        <f>VLOOKUP(E9,Riferimento!$E$3:$H$181,4,FALSE)</f>
        <v>#N/A</v>
      </c>
      <c r="N9" s="25"/>
      <c r="O9" s="43" t="e">
        <f>VLOOKUP(E9,Riferimento!$E$3:$I$181,5,FALSE)</f>
        <v>#N/A</v>
      </c>
      <c r="P9" s="44" t="e">
        <f t="shared" si="0"/>
        <v>#N/A</v>
      </c>
      <c r="Q9" s="44" t="e">
        <f>VLOOKUP(E9,Riferimento!$E$3:$J$181,6,FALSE)</f>
        <v>#N/A</v>
      </c>
      <c r="R9" s="25"/>
      <c r="S9" s="34"/>
    </row>
    <row r="10" spans="1:19" x14ac:dyDescent="0.25">
      <c r="A10" s="20"/>
      <c r="B10" s="18"/>
      <c r="C10" s="18" t="e">
        <f>VLOOKUP(B10, Riferimento!M$3:N52, 2, 0)</f>
        <v>#N/A</v>
      </c>
      <c r="D10" s="20"/>
      <c r="E10" s="18"/>
      <c r="F10" s="2" t="e">
        <f>VLOOKUP(E10,Riferimento!$E$3:$H$183,3,FALSE)</f>
        <v>#N/A</v>
      </c>
      <c r="G10" s="2" t="e">
        <f>VLOOKUP(E10,Riferimento!$E$3:$H$181,2,FALSE)</f>
        <v>#N/A</v>
      </c>
      <c r="H10" s="26"/>
      <c r="I10" s="26"/>
      <c r="J10" s="31"/>
      <c r="K10" s="31"/>
      <c r="L10" s="18"/>
      <c r="M10" s="2" t="e">
        <f>VLOOKUP(E10,Riferimento!$E$3:$H$181,4,FALSE)</f>
        <v>#N/A</v>
      </c>
      <c r="N10" s="25"/>
      <c r="O10" s="43" t="e">
        <f>VLOOKUP(E10,Riferimento!$E$3:$I$181,5,FALSE)</f>
        <v>#N/A</v>
      </c>
      <c r="P10" s="44" t="e">
        <f t="shared" si="0"/>
        <v>#N/A</v>
      </c>
      <c r="Q10" s="44" t="e">
        <f>VLOOKUP(E10,Riferimento!$E$3:$J$181,6,FALSE)</f>
        <v>#N/A</v>
      </c>
      <c r="R10" s="25"/>
      <c r="S10" s="34"/>
    </row>
    <row r="11" spans="1:19" x14ac:dyDescent="0.25">
      <c r="A11" s="20"/>
      <c r="B11" s="18"/>
      <c r="C11" s="18" t="e">
        <f>VLOOKUP(B11, Riferimento!M$3:N53, 2, 0)</f>
        <v>#N/A</v>
      </c>
      <c r="D11" s="20"/>
      <c r="E11" s="18"/>
      <c r="F11" s="2" t="e">
        <f>VLOOKUP(E11,Riferimento!$E$3:$H$183,3,FALSE)</f>
        <v>#N/A</v>
      </c>
      <c r="G11" s="2" t="e">
        <f>VLOOKUP(E11,Riferimento!$E$3:$H$181,2,FALSE)</f>
        <v>#N/A</v>
      </c>
      <c r="H11" s="26"/>
      <c r="I11" s="26"/>
      <c r="J11" s="31"/>
      <c r="K11" s="31"/>
      <c r="L11" s="18"/>
      <c r="M11" s="2" t="e">
        <f>VLOOKUP(E11,Riferimento!$E$3:$H$181,4,FALSE)</f>
        <v>#N/A</v>
      </c>
      <c r="N11" s="25"/>
      <c r="O11" s="43" t="e">
        <f>VLOOKUP(E11,Riferimento!$E$3:$I$181,5,FALSE)</f>
        <v>#N/A</v>
      </c>
      <c r="P11" s="44" t="e">
        <f t="shared" si="0"/>
        <v>#N/A</v>
      </c>
      <c r="Q11" s="44" t="e">
        <f>VLOOKUP(E11,Riferimento!$E$3:$J$181,6,FALSE)</f>
        <v>#N/A</v>
      </c>
      <c r="R11" s="25"/>
      <c r="S11" s="34"/>
    </row>
    <row r="12" spans="1:19" x14ac:dyDescent="0.25">
      <c r="A12" s="20"/>
      <c r="B12" s="18"/>
      <c r="C12" s="18" t="e">
        <f>VLOOKUP(B12, Riferimento!M$3:N54, 2, 0)</f>
        <v>#N/A</v>
      </c>
      <c r="D12" s="20"/>
      <c r="E12" s="18"/>
      <c r="F12" s="2" t="e">
        <f>VLOOKUP(E12,Riferimento!$E$3:$H$183,3,FALSE)</f>
        <v>#N/A</v>
      </c>
      <c r="G12" s="2" t="e">
        <f>VLOOKUP(E12,Riferimento!$E$3:$H$181,2,FALSE)</f>
        <v>#N/A</v>
      </c>
      <c r="H12" s="26"/>
      <c r="I12" s="26"/>
      <c r="J12" s="31"/>
      <c r="K12" s="31"/>
      <c r="L12" s="18"/>
      <c r="M12" s="2" t="e">
        <f>VLOOKUP(E12,Riferimento!$E$3:$H$181,4,FALSE)</f>
        <v>#N/A</v>
      </c>
      <c r="N12" s="25"/>
      <c r="O12" s="43" t="e">
        <f>VLOOKUP(E12,Riferimento!$E$3:$I$181,5,FALSE)</f>
        <v>#N/A</v>
      </c>
      <c r="P12" s="44" t="e">
        <f t="shared" si="0"/>
        <v>#N/A</v>
      </c>
      <c r="Q12" s="44" t="e">
        <f>VLOOKUP(E12,Riferimento!$E$3:$J$181,6,FALSE)</f>
        <v>#N/A</v>
      </c>
      <c r="R12" s="25"/>
      <c r="S12" s="34"/>
    </row>
    <row r="13" spans="1:19" x14ac:dyDescent="0.25">
      <c r="A13" s="20"/>
      <c r="B13" s="18"/>
      <c r="C13" s="18" t="e">
        <f>VLOOKUP(B13, Riferimento!M$3:N55, 2, 0)</f>
        <v>#N/A</v>
      </c>
      <c r="D13" s="20"/>
      <c r="E13" s="18"/>
      <c r="F13" s="2" t="e">
        <f>VLOOKUP(E13,Riferimento!$E$3:$H$183,3,FALSE)</f>
        <v>#N/A</v>
      </c>
      <c r="G13" s="2" t="e">
        <f>VLOOKUP(E13,Riferimento!$E$3:$H$181,2,FALSE)</f>
        <v>#N/A</v>
      </c>
      <c r="H13" s="26"/>
      <c r="I13" s="26"/>
      <c r="J13" s="31"/>
      <c r="K13" s="31"/>
      <c r="L13" s="18"/>
      <c r="M13" s="2" t="e">
        <f>VLOOKUP(E13,Riferimento!$E$3:$H$181,4,FALSE)</f>
        <v>#N/A</v>
      </c>
      <c r="N13" s="25"/>
      <c r="O13" s="43" t="e">
        <f>VLOOKUP(E13,Riferimento!$E$3:$I$181,5,FALSE)</f>
        <v>#N/A</v>
      </c>
      <c r="P13" s="44" t="e">
        <f t="shared" si="0"/>
        <v>#N/A</v>
      </c>
      <c r="Q13" s="44" t="e">
        <f>VLOOKUP(E13,Riferimento!$E$3:$J$181,6,FALSE)</f>
        <v>#N/A</v>
      </c>
      <c r="R13" s="25"/>
      <c r="S13" s="34"/>
    </row>
    <row r="14" spans="1:19" x14ac:dyDescent="0.25">
      <c r="A14" s="20"/>
      <c r="B14" s="18"/>
      <c r="C14" s="18" t="e">
        <f>VLOOKUP(B14, Riferimento!M$3:N56, 2, 0)</f>
        <v>#N/A</v>
      </c>
      <c r="D14" s="20"/>
      <c r="E14" s="18"/>
      <c r="F14" s="2" t="e">
        <f>VLOOKUP(E14,Riferimento!$E$3:$H$183,3,FALSE)</f>
        <v>#N/A</v>
      </c>
      <c r="G14" s="2" t="e">
        <f>VLOOKUP(E14,Riferimento!$E$3:$H$181,2,FALSE)</f>
        <v>#N/A</v>
      </c>
      <c r="H14" s="26"/>
      <c r="I14" s="26"/>
      <c r="J14" s="31"/>
      <c r="K14" s="31"/>
      <c r="L14" s="18"/>
      <c r="M14" s="2" t="e">
        <f>VLOOKUP(E14,Riferimento!$E$3:$H$181,4,FALSE)</f>
        <v>#N/A</v>
      </c>
      <c r="N14" s="25"/>
      <c r="O14" s="43" t="e">
        <f>VLOOKUP(E14,Riferimento!$E$3:$I$181,5,FALSE)</f>
        <v>#N/A</v>
      </c>
      <c r="P14" s="44" t="e">
        <f t="shared" si="0"/>
        <v>#N/A</v>
      </c>
      <c r="Q14" s="44" t="e">
        <f>VLOOKUP(E14,Riferimento!$E$3:$J$181,6,FALSE)</f>
        <v>#N/A</v>
      </c>
      <c r="R14" s="25"/>
      <c r="S14" s="34"/>
    </row>
    <row r="15" spans="1:19" x14ac:dyDescent="0.25">
      <c r="A15" s="20"/>
      <c r="B15" s="18"/>
      <c r="C15" s="18" t="e">
        <f>VLOOKUP(B15, Riferimento!M$3:N57, 2, 0)</f>
        <v>#N/A</v>
      </c>
      <c r="D15" s="20"/>
      <c r="E15" s="18"/>
      <c r="F15" s="2" t="e">
        <f>VLOOKUP(E15,Riferimento!$E$3:$H$183,3,FALSE)</f>
        <v>#N/A</v>
      </c>
      <c r="G15" s="2" t="e">
        <f>VLOOKUP(E15,Riferimento!$E$3:$H$181,2,FALSE)</f>
        <v>#N/A</v>
      </c>
      <c r="H15" s="26"/>
      <c r="I15" s="26"/>
      <c r="J15" s="31"/>
      <c r="K15" s="31"/>
      <c r="L15" s="18"/>
      <c r="M15" s="2" t="e">
        <f>VLOOKUP(E15,Riferimento!$E$3:$H$181,4,FALSE)</f>
        <v>#N/A</v>
      </c>
      <c r="N15" s="25"/>
      <c r="O15" s="43" t="e">
        <f>VLOOKUP(E15,Riferimento!$E$3:$I$181,5,FALSE)</f>
        <v>#N/A</v>
      </c>
      <c r="P15" s="44" t="e">
        <f t="shared" si="0"/>
        <v>#N/A</v>
      </c>
      <c r="Q15" s="44" t="e">
        <f>VLOOKUP(E15,Riferimento!$E$3:$J$181,6,FALSE)</f>
        <v>#N/A</v>
      </c>
      <c r="R15" s="25"/>
      <c r="S15" s="34"/>
    </row>
    <row r="16" spans="1:19" x14ac:dyDescent="0.25">
      <c r="A16" s="20"/>
      <c r="B16" s="18"/>
      <c r="C16" s="18" t="e">
        <f>VLOOKUP(B16, Riferimento!M$3:N58, 2, 0)</f>
        <v>#N/A</v>
      </c>
      <c r="D16" s="20"/>
      <c r="E16" s="18"/>
      <c r="F16" s="2" t="e">
        <f>VLOOKUP(E16,Riferimento!$E$3:$H$183,3,FALSE)</f>
        <v>#N/A</v>
      </c>
      <c r="G16" s="2" t="e">
        <f>VLOOKUP(E16,Riferimento!$E$3:$H$181,2,FALSE)</f>
        <v>#N/A</v>
      </c>
      <c r="H16" s="26"/>
      <c r="I16" s="26"/>
      <c r="J16" s="31"/>
      <c r="K16" s="31"/>
      <c r="L16" s="18"/>
      <c r="M16" s="2" t="e">
        <f>VLOOKUP(E16,Riferimento!$E$3:$H$181,4,FALSE)</f>
        <v>#N/A</v>
      </c>
      <c r="N16" s="25"/>
      <c r="O16" s="43" t="e">
        <f>VLOOKUP(E16,Riferimento!$E$3:$I$181,5,FALSE)</f>
        <v>#N/A</v>
      </c>
      <c r="P16" s="44" t="e">
        <f t="shared" si="0"/>
        <v>#N/A</v>
      </c>
      <c r="Q16" s="44" t="e">
        <f>VLOOKUP(E16,Riferimento!$E$3:$J$181,6,FALSE)</f>
        <v>#N/A</v>
      </c>
      <c r="R16" s="25"/>
      <c r="S16" s="34"/>
    </row>
    <row r="17" spans="1:19" x14ac:dyDescent="0.25">
      <c r="A17" s="20"/>
      <c r="B17" s="18"/>
      <c r="C17" s="18" t="e">
        <f>VLOOKUP(B17, Riferimento!M$3:N59, 2, 0)</f>
        <v>#N/A</v>
      </c>
      <c r="D17" s="20"/>
      <c r="E17" s="18"/>
      <c r="F17" s="2" t="e">
        <f>VLOOKUP(E17,Riferimento!$E$3:$H$183,3,FALSE)</f>
        <v>#N/A</v>
      </c>
      <c r="G17" s="2" t="e">
        <f>VLOOKUP(E17,Riferimento!$E$3:$H$181,2,FALSE)</f>
        <v>#N/A</v>
      </c>
      <c r="H17" s="26"/>
      <c r="I17" s="26"/>
      <c r="J17" s="31"/>
      <c r="K17" s="31"/>
      <c r="L17" s="18"/>
      <c r="M17" s="2" t="e">
        <f>VLOOKUP(E17,Riferimento!$E$3:$H$181,4,FALSE)</f>
        <v>#N/A</v>
      </c>
      <c r="N17" s="25"/>
      <c r="O17" s="43" t="e">
        <f>VLOOKUP(E17,Riferimento!$E$3:$I$181,5,FALSE)</f>
        <v>#N/A</v>
      </c>
      <c r="P17" s="44" t="e">
        <f t="shared" si="0"/>
        <v>#N/A</v>
      </c>
      <c r="Q17" s="44" t="e">
        <f>VLOOKUP(E17,Riferimento!$E$3:$J$181,6,FALSE)</f>
        <v>#N/A</v>
      </c>
      <c r="R17" s="25"/>
      <c r="S17" s="34"/>
    </row>
    <row r="18" spans="1:19" x14ac:dyDescent="0.25">
      <c r="A18" s="20"/>
      <c r="B18" s="18"/>
      <c r="C18" s="18" t="e">
        <f>VLOOKUP(B18, Riferimento!M$3:N60, 2, 0)</f>
        <v>#N/A</v>
      </c>
      <c r="D18" s="20"/>
      <c r="E18" s="18"/>
      <c r="F18" s="2" t="e">
        <f>VLOOKUP(E18,Riferimento!$E$3:$H$183,3,FALSE)</f>
        <v>#N/A</v>
      </c>
      <c r="G18" s="2" t="e">
        <f>VLOOKUP(E18,Riferimento!$E$3:$H$181,2,FALSE)</f>
        <v>#N/A</v>
      </c>
      <c r="H18" s="26"/>
      <c r="I18" s="26"/>
      <c r="J18" s="31"/>
      <c r="K18" s="31"/>
      <c r="L18" s="18"/>
      <c r="M18" s="2" t="e">
        <f>VLOOKUP(E18,Riferimento!$E$3:$H$181,4,FALSE)</f>
        <v>#N/A</v>
      </c>
      <c r="N18" s="25"/>
      <c r="O18" s="43" t="e">
        <f>VLOOKUP(E18,Riferimento!$E$3:$I$181,5,FALSE)</f>
        <v>#N/A</v>
      </c>
      <c r="P18" s="44" t="e">
        <f t="shared" si="0"/>
        <v>#N/A</v>
      </c>
      <c r="Q18" s="44" t="e">
        <f>VLOOKUP(E18,Riferimento!$E$3:$J$181,6,FALSE)</f>
        <v>#N/A</v>
      </c>
      <c r="R18" s="25"/>
      <c r="S18" s="34"/>
    </row>
    <row r="19" spans="1:19" x14ac:dyDescent="0.25">
      <c r="A19" s="20"/>
      <c r="B19" s="18"/>
      <c r="C19" s="18" t="e">
        <f>VLOOKUP(B19, Riferimento!M$3:N61, 2, 0)</f>
        <v>#N/A</v>
      </c>
      <c r="D19" s="20"/>
      <c r="E19" s="18"/>
      <c r="F19" s="2" t="e">
        <f>VLOOKUP(E19,Riferimento!$E$3:$H$183,3,FALSE)</f>
        <v>#N/A</v>
      </c>
      <c r="G19" s="2" t="e">
        <f>VLOOKUP(E19,Riferimento!$E$3:$H$181,2,FALSE)</f>
        <v>#N/A</v>
      </c>
      <c r="H19" s="26"/>
      <c r="I19" s="26"/>
      <c r="J19" s="31"/>
      <c r="K19" s="31"/>
      <c r="L19" s="18"/>
      <c r="M19" s="2" t="e">
        <f>VLOOKUP(E19,Riferimento!$E$3:$H$181,4,FALSE)</f>
        <v>#N/A</v>
      </c>
      <c r="N19" s="25"/>
      <c r="O19" s="43" t="e">
        <f>VLOOKUP(E19,Riferimento!$E$3:$I$181,5,FALSE)</f>
        <v>#N/A</v>
      </c>
      <c r="P19" s="44" t="e">
        <f t="shared" si="0"/>
        <v>#N/A</v>
      </c>
      <c r="Q19" s="44" t="e">
        <f>VLOOKUP(E19,Riferimento!$E$3:$J$181,6,FALSE)</f>
        <v>#N/A</v>
      </c>
      <c r="R19" s="25"/>
      <c r="S19" s="34"/>
    </row>
    <row r="20" spans="1:19" x14ac:dyDescent="0.25">
      <c r="A20" s="20"/>
      <c r="B20" s="18"/>
      <c r="C20" s="18" t="e">
        <f>VLOOKUP(B20, Riferimento!M$3:N62, 2, 0)</f>
        <v>#N/A</v>
      </c>
      <c r="D20" s="20"/>
      <c r="E20" s="18"/>
      <c r="F20" s="2" t="e">
        <f>VLOOKUP(E20,Riferimento!$E$3:$H$183,3,FALSE)</f>
        <v>#N/A</v>
      </c>
      <c r="G20" s="2" t="e">
        <f>VLOOKUP(E20,Riferimento!$E$3:$H$181,2,FALSE)</f>
        <v>#N/A</v>
      </c>
      <c r="H20" s="26"/>
      <c r="I20" s="26"/>
      <c r="J20" s="31"/>
      <c r="K20" s="31"/>
      <c r="L20" s="18"/>
      <c r="M20" s="2" t="e">
        <f>VLOOKUP(E20,Riferimento!$E$3:$H$181,4,FALSE)</f>
        <v>#N/A</v>
      </c>
      <c r="N20" s="25"/>
      <c r="O20" s="43" t="e">
        <f>VLOOKUP(E20,Riferimento!$E$3:$I$181,5,FALSE)</f>
        <v>#N/A</v>
      </c>
      <c r="P20" s="44" t="e">
        <f t="shared" si="0"/>
        <v>#N/A</v>
      </c>
      <c r="Q20" s="44" t="e">
        <f>VLOOKUP(E20,Riferimento!$E$3:$J$181,6,FALSE)</f>
        <v>#N/A</v>
      </c>
      <c r="R20" s="25"/>
      <c r="S20" s="34"/>
    </row>
    <row r="21" spans="1:19" x14ac:dyDescent="0.25">
      <c r="A21" s="20"/>
      <c r="B21" s="18"/>
      <c r="C21" s="18" t="e">
        <f>VLOOKUP(B21, Riferimento!M$3:N63, 2, 0)</f>
        <v>#N/A</v>
      </c>
      <c r="D21" s="20"/>
      <c r="E21" s="18"/>
      <c r="F21" s="2" t="e">
        <f>VLOOKUP(E21,Riferimento!$E$3:$H$183,3,FALSE)</f>
        <v>#N/A</v>
      </c>
      <c r="G21" s="2" t="e">
        <f>VLOOKUP(E21,Riferimento!$E$3:$H$181,2,FALSE)</f>
        <v>#N/A</v>
      </c>
      <c r="H21" s="26"/>
      <c r="I21" s="26"/>
      <c r="J21" s="31"/>
      <c r="K21" s="31"/>
      <c r="L21" s="18"/>
      <c r="M21" s="2" t="e">
        <f>VLOOKUP(E21,Riferimento!$E$3:$H$181,4,FALSE)</f>
        <v>#N/A</v>
      </c>
      <c r="N21" s="25"/>
      <c r="O21" s="43" t="e">
        <f>VLOOKUP(E21,Riferimento!$E$3:$I$181,5,FALSE)</f>
        <v>#N/A</v>
      </c>
      <c r="P21" s="44" t="e">
        <f t="shared" si="0"/>
        <v>#N/A</v>
      </c>
      <c r="Q21" s="44" t="e">
        <f>VLOOKUP(E21,Riferimento!$E$3:$J$181,6,FALSE)</f>
        <v>#N/A</v>
      </c>
      <c r="R21" s="25"/>
      <c r="S21" s="34"/>
    </row>
    <row r="22" spans="1:19" x14ac:dyDescent="0.25">
      <c r="A22" s="20"/>
      <c r="B22" s="18"/>
      <c r="C22" s="18" t="e">
        <f>VLOOKUP(B22, Riferimento!M$3:N64, 2, 0)</f>
        <v>#N/A</v>
      </c>
      <c r="D22" s="20"/>
      <c r="E22" s="18"/>
      <c r="F22" s="2" t="e">
        <f>VLOOKUP(E22,Riferimento!$E$3:$H$183,3,FALSE)</f>
        <v>#N/A</v>
      </c>
      <c r="G22" s="2" t="e">
        <f>VLOOKUP(E22,Riferimento!$E$3:$H$181,2,FALSE)</f>
        <v>#N/A</v>
      </c>
      <c r="H22" s="26"/>
      <c r="I22" s="26"/>
      <c r="J22" s="31"/>
      <c r="K22" s="31"/>
      <c r="L22" s="18"/>
      <c r="M22" s="2" t="e">
        <f>VLOOKUP(E22,Riferimento!$E$3:$H$181,4,FALSE)</f>
        <v>#N/A</v>
      </c>
      <c r="N22" s="25"/>
      <c r="O22" s="43" t="e">
        <f>VLOOKUP(E22,Riferimento!$E$3:$I$181,5,FALSE)</f>
        <v>#N/A</v>
      </c>
      <c r="P22" s="44" t="e">
        <f t="shared" si="0"/>
        <v>#N/A</v>
      </c>
      <c r="Q22" s="44" t="e">
        <f>VLOOKUP(E22,Riferimento!$E$3:$J$181,6,FALSE)</f>
        <v>#N/A</v>
      </c>
      <c r="R22" s="25"/>
      <c r="S22" s="34"/>
    </row>
    <row r="23" spans="1:19" x14ac:dyDescent="0.25">
      <c r="A23" s="20"/>
      <c r="B23" s="18"/>
      <c r="C23" s="18" t="e">
        <f>VLOOKUP(B23, Riferimento!M$3:N65, 2, 0)</f>
        <v>#N/A</v>
      </c>
      <c r="D23" s="20"/>
      <c r="E23" s="18"/>
      <c r="F23" s="2" t="e">
        <f>VLOOKUP(E23,Riferimento!$E$3:$H$183,3,FALSE)</f>
        <v>#N/A</v>
      </c>
      <c r="G23" s="2" t="e">
        <f>VLOOKUP(E23,Riferimento!$E$3:$H$181,2,FALSE)</f>
        <v>#N/A</v>
      </c>
      <c r="H23" s="26"/>
      <c r="I23" s="26"/>
      <c r="J23" s="31"/>
      <c r="K23" s="31"/>
      <c r="L23" s="18"/>
      <c r="M23" s="2" t="e">
        <f>VLOOKUP(E23,Riferimento!$E$3:$H$181,4,FALSE)</f>
        <v>#N/A</v>
      </c>
      <c r="N23" s="25"/>
      <c r="O23" s="43" t="e">
        <f>VLOOKUP(E23,Riferimento!$E$3:$I$181,5,FALSE)</f>
        <v>#N/A</v>
      </c>
      <c r="P23" s="44" t="e">
        <f t="shared" si="0"/>
        <v>#N/A</v>
      </c>
      <c r="Q23" s="44" t="e">
        <f>VLOOKUP(E23,Riferimento!$E$3:$J$181,6,FALSE)</f>
        <v>#N/A</v>
      </c>
      <c r="R23" s="25"/>
      <c r="S23" s="34"/>
    </row>
    <row r="24" spans="1:19" x14ac:dyDescent="0.25">
      <c r="A24" s="20"/>
      <c r="B24" s="18"/>
      <c r="C24" s="18" t="e">
        <f>VLOOKUP(B24, Riferimento!M$3:N66, 2, 0)</f>
        <v>#N/A</v>
      </c>
      <c r="D24" s="20"/>
      <c r="E24" s="18"/>
      <c r="F24" s="2" t="e">
        <f>VLOOKUP(E24,Riferimento!$E$3:$H$183,3,FALSE)</f>
        <v>#N/A</v>
      </c>
      <c r="G24" s="2" t="e">
        <f>VLOOKUP(E24,Riferimento!$E$3:$H$181,2,FALSE)</f>
        <v>#N/A</v>
      </c>
      <c r="H24" s="26"/>
      <c r="I24" s="26"/>
      <c r="J24" s="31"/>
      <c r="K24" s="31"/>
      <c r="L24" s="18"/>
      <c r="M24" s="2" t="e">
        <f>VLOOKUP(E24,Riferimento!$E$3:$H$181,4,FALSE)</f>
        <v>#N/A</v>
      </c>
      <c r="N24" s="25"/>
      <c r="O24" s="43" t="e">
        <f>VLOOKUP(E24,Riferimento!$E$3:$I$181,5,FALSE)</f>
        <v>#N/A</v>
      </c>
      <c r="P24" s="44" t="e">
        <f t="shared" si="0"/>
        <v>#N/A</v>
      </c>
      <c r="Q24" s="44" t="e">
        <f>VLOOKUP(E24,Riferimento!$E$3:$J$181,6,FALSE)</f>
        <v>#N/A</v>
      </c>
      <c r="R24" s="25"/>
      <c r="S24" s="34"/>
    </row>
    <row r="25" spans="1:19" x14ac:dyDescent="0.25">
      <c r="A25" s="20"/>
      <c r="B25" s="18"/>
      <c r="C25" s="18" t="e">
        <f>VLOOKUP(B25, Riferimento!M$3:N67, 2, 0)</f>
        <v>#N/A</v>
      </c>
      <c r="D25" s="20"/>
      <c r="E25" s="18"/>
      <c r="F25" s="2" t="e">
        <f>VLOOKUP(E25,Riferimento!$E$3:$H$183,3,FALSE)</f>
        <v>#N/A</v>
      </c>
      <c r="G25" s="2" t="e">
        <f>VLOOKUP(E25,Riferimento!$E$3:$H$181,2,FALSE)</f>
        <v>#N/A</v>
      </c>
      <c r="H25" s="26"/>
      <c r="I25" s="26"/>
      <c r="J25" s="31"/>
      <c r="K25" s="31"/>
      <c r="L25" s="18"/>
      <c r="M25" s="2" t="e">
        <f>VLOOKUP(E25,Riferimento!$E$3:$H$181,4,FALSE)</f>
        <v>#N/A</v>
      </c>
      <c r="N25" s="25"/>
      <c r="O25" s="43" t="e">
        <f>VLOOKUP(E25,Riferimento!$E$3:$I$181,5,FALSE)</f>
        <v>#N/A</v>
      </c>
      <c r="P25" s="44" t="e">
        <f t="shared" si="0"/>
        <v>#N/A</v>
      </c>
      <c r="Q25" s="44" t="e">
        <f>VLOOKUP(E25,Riferimento!$E$3:$J$181,6,FALSE)</f>
        <v>#N/A</v>
      </c>
      <c r="R25" s="25"/>
      <c r="S25" s="34"/>
    </row>
    <row r="26" spans="1:19" x14ac:dyDescent="0.25">
      <c r="A26" s="20"/>
      <c r="B26" s="18"/>
      <c r="C26" s="18" t="e">
        <f>VLOOKUP(B26, Riferimento!M$3:N68, 2, 0)</f>
        <v>#N/A</v>
      </c>
      <c r="D26" s="20"/>
      <c r="E26" s="18"/>
      <c r="F26" s="2" t="e">
        <f>VLOOKUP(E26,Riferimento!$E$3:$H$183,3,FALSE)</f>
        <v>#N/A</v>
      </c>
      <c r="G26" s="2" t="e">
        <f>VLOOKUP(E26,Riferimento!$E$3:$H$181,2,FALSE)</f>
        <v>#N/A</v>
      </c>
      <c r="H26" s="26"/>
      <c r="I26" s="26"/>
      <c r="J26" s="31"/>
      <c r="K26" s="31"/>
      <c r="L26" s="18"/>
      <c r="M26" s="2" t="e">
        <f>VLOOKUP(E26,Riferimento!$E$3:$H$181,4,FALSE)</f>
        <v>#N/A</v>
      </c>
      <c r="N26" s="25"/>
      <c r="O26" s="43" t="e">
        <f>VLOOKUP(E26,Riferimento!$E$3:$I$181,5,FALSE)</f>
        <v>#N/A</v>
      </c>
      <c r="P26" s="44" t="e">
        <f t="shared" si="0"/>
        <v>#N/A</v>
      </c>
      <c r="Q26" s="44" t="e">
        <f>VLOOKUP(E26,Riferimento!$E$3:$J$181,6,FALSE)</f>
        <v>#N/A</v>
      </c>
      <c r="R26" s="25"/>
      <c r="S26" s="34"/>
    </row>
    <row r="27" spans="1:19" x14ac:dyDescent="0.25">
      <c r="A27" s="20"/>
      <c r="B27" s="18"/>
      <c r="C27" s="18" t="e">
        <f>VLOOKUP(B27, Riferimento!M$3:N69, 2, 0)</f>
        <v>#N/A</v>
      </c>
      <c r="D27" s="20"/>
      <c r="E27" s="18"/>
      <c r="F27" s="2" t="e">
        <f>VLOOKUP(E27,Riferimento!$E$3:$H$183,3,FALSE)</f>
        <v>#N/A</v>
      </c>
      <c r="G27" s="2" t="e">
        <f>VLOOKUP(E27,Riferimento!$E$3:$H$181,2,FALSE)</f>
        <v>#N/A</v>
      </c>
      <c r="H27" s="26"/>
      <c r="I27" s="26"/>
      <c r="J27" s="31"/>
      <c r="K27" s="31"/>
      <c r="L27" s="18"/>
      <c r="M27" s="2" t="e">
        <f>VLOOKUP(E27,Riferimento!$E$3:$H$181,4,FALSE)</f>
        <v>#N/A</v>
      </c>
      <c r="N27" s="25"/>
      <c r="O27" s="43" t="e">
        <f>VLOOKUP(E27,Riferimento!$E$3:$I$181,5,FALSE)</f>
        <v>#N/A</v>
      </c>
      <c r="P27" s="44" t="e">
        <f t="shared" si="0"/>
        <v>#N/A</v>
      </c>
      <c r="Q27" s="44" t="e">
        <f>VLOOKUP(E27,Riferimento!$E$3:$J$181,6,FALSE)</f>
        <v>#N/A</v>
      </c>
      <c r="R27" s="25"/>
      <c r="S27" s="34"/>
    </row>
    <row r="28" spans="1:19" x14ac:dyDescent="0.25">
      <c r="A28" s="20"/>
      <c r="B28" s="18"/>
      <c r="C28" s="18" t="e">
        <f>VLOOKUP(B28, Riferimento!M$3:N70, 2, 0)</f>
        <v>#N/A</v>
      </c>
      <c r="D28" s="20"/>
      <c r="E28" s="18"/>
      <c r="F28" s="2" t="e">
        <f>VLOOKUP(E28,Riferimento!$E$3:$H$183,3,FALSE)</f>
        <v>#N/A</v>
      </c>
      <c r="G28" s="2" t="e">
        <f>VLOOKUP(E28,Riferimento!$E$3:$H$181,2,FALSE)</f>
        <v>#N/A</v>
      </c>
      <c r="H28" s="26"/>
      <c r="I28" s="26"/>
      <c r="J28" s="31"/>
      <c r="K28" s="31"/>
      <c r="L28" s="18"/>
      <c r="M28" s="2" t="e">
        <f>VLOOKUP(E28,Riferimento!$E$3:$H$181,4,FALSE)</f>
        <v>#N/A</v>
      </c>
      <c r="N28" s="25"/>
      <c r="O28" s="43" t="e">
        <f>VLOOKUP(E28,Riferimento!$E$3:$I$181,5,FALSE)</f>
        <v>#N/A</v>
      </c>
      <c r="P28" s="44" t="e">
        <f t="shared" si="0"/>
        <v>#N/A</v>
      </c>
      <c r="Q28" s="44" t="e">
        <f>VLOOKUP(E28,Riferimento!$E$3:$J$181,6,FALSE)</f>
        <v>#N/A</v>
      </c>
      <c r="R28" s="25"/>
      <c r="S28" s="34"/>
    </row>
    <row r="29" spans="1:19" x14ac:dyDescent="0.25">
      <c r="A29" s="20"/>
      <c r="B29" s="18"/>
      <c r="C29" s="18" t="e">
        <f>VLOOKUP(B29, Riferimento!M$3:N71, 2, 0)</f>
        <v>#N/A</v>
      </c>
      <c r="D29" s="20"/>
      <c r="E29" s="18"/>
      <c r="F29" s="2" t="e">
        <f>VLOOKUP(E29,Riferimento!$E$3:$H$183,3,FALSE)</f>
        <v>#N/A</v>
      </c>
      <c r="G29" s="2" t="e">
        <f>VLOOKUP(E29,Riferimento!$E$3:$H$181,2,FALSE)</f>
        <v>#N/A</v>
      </c>
      <c r="H29" s="26"/>
      <c r="I29" s="26"/>
      <c r="J29" s="31"/>
      <c r="K29" s="31"/>
      <c r="L29" s="18"/>
      <c r="M29" s="2" t="e">
        <f>VLOOKUP(E29,Riferimento!$E$3:$H$181,4,FALSE)</f>
        <v>#N/A</v>
      </c>
      <c r="N29" s="25"/>
      <c r="O29" s="43" t="e">
        <f>VLOOKUP(E29,Riferimento!$E$3:$I$181,5,FALSE)</f>
        <v>#N/A</v>
      </c>
      <c r="P29" s="44" t="e">
        <f t="shared" si="0"/>
        <v>#N/A</v>
      </c>
      <c r="Q29" s="44" t="e">
        <f>VLOOKUP(E29,Riferimento!$E$3:$J$181,6,FALSE)</f>
        <v>#N/A</v>
      </c>
      <c r="R29" s="25"/>
      <c r="S29" s="34"/>
    </row>
    <row r="30" spans="1:19" x14ac:dyDescent="0.25">
      <c r="A30" s="20"/>
      <c r="B30" s="18"/>
      <c r="C30" s="18" t="e">
        <f>VLOOKUP(B30, Riferimento!M$3:N72, 2, 0)</f>
        <v>#N/A</v>
      </c>
      <c r="D30" s="20"/>
      <c r="E30" s="18"/>
      <c r="F30" s="2" t="e">
        <f>VLOOKUP(E30,Riferimento!$E$3:$H$183,3,FALSE)</f>
        <v>#N/A</v>
      </c>
      <c r="G30" s="2" t="e">
        <f>VLOOKUP(E30,Riferimento!$E$3:$H$181,2,FALSE)</f>
        <v>#N/A</v>
      </c>
      <c r="H30" s="26"/>
      <c r="I30" s="26"/>
      <c r="J30" s="31"/>
      <c r="K30" s="31"/>
      <c r="L30" s="18"/>
      <c r="M30" s="2" t="e">
        <f>VLOOKUP(E30,Riferimento!$E$3:$H$181,4,FALSE)</f>
        <v>#N/A</v>
      </c>
      <c r="N30" s="25"/>
      <c r="O30" s="43" t="e">
        <f>VLOOKUP(E30,Riferimento!$E$3:$I$181,5,FALSE)</f>
        <v>#N/A</v>
      </c>
      <c r="P30" s="44" t="e">
        <f t="shared" si="0"/>
        <v>#N/A</v>
      </c>
      <c r="Q30" s="44" t="e">
        <f>VLOOKUP(E30,Riferimento!$E$3:$J$181,6,FALSE)</f>
        <v>#N/A</v>
      </c>
      <c r="R30" s="25"/>
      <c r="S30" s="34"/>
    </row>
    <row r="31" spans="1:19" x14ac:dyDescent="0.25">
      <c r="A31" s="20"/>
      <c r="B31" s="18"/>
      <c r="C31" s="18" t="e">
        <f>VLOOKUP(B31, Riferimento!M$3:N73, 2, 0)</f>
        <v>#N/A</v>
      </c>
      <c r="D31" s="20"/>
      <c r="E31" s="18"/>
      <c r="F31" s="2" t="e">
        <f>VLOOKUP(E31,Riferimento!$E$3:$H$183,3,FALSE)</f>
        <v>#N/A</v>
      </c>
      <c r="G31" s="2" t="e">
        <f>VLOOKUP(E31,Riferimento!$E$3:$H$181,2,FALSE)</f>
        <v>#N/A</v>
      </c>
      <c r="H31" s="26"/>
      <c r="I31" s="26"/>
      <c r="J31" s="31"/>
      <c r="K31" s="31"/>
      <c r="L31" s="18"/>
      <c r="M31" s="2" t="e">
        <f>VLOOKUP(E31,Riferimento!$E$3:$H$181,4,FALSE)</f>
        <v>#N/A</v>
      </c>
      <c r="N31" s="25"/>
      <c r="O31" s="43" t="e">
        <f>VLOOKUP(E31,Riferimento!$E$3:$I$181,5,FALSE)</f>
        <v>#N/A</v>
      </c>
      <c r="P31" s="44" t="e">
        <f t="shared" si="0"/>
        <v>#N/A</v>
      </c>
      <c r="Q31" s="44" t="e">
        <f>VLOOKUP(E31,Riferimento!$E$3:$J$181,6,FALSE)</f>
        <v>#N/A</v>
      </c>
      <c r="R31" s="25"/>
      <c r="S31" s="34"/>
    </row>
    <row r="32" spans="1:19" x14ac:dyDescent="0.25">
      <c r="A32" s="20"/>
      <c r="B32" s="18"/>
      <c r="C32" s="18" t="e">
        <f>VLOOKUP(B32, Riferimento!M$3:N74, 2, 0)</f>
        <v>#N/A</v>
      </c>
      <c r="D32" s="20"/>
      <c r="E32" s="18"/>
      <c r="F32" s="2" t="e">
        <f>VLOOKUP(E32,Riferimento!$E$3:$H$183,3,FALSE)</f>
        <v>#N/A</v>
      </c>
      <c r="G32" s="2" t="e">
        <f>VLOOKUP(E32,Riferimento!$E$3:$H$181,2,FALSE)</f>
        <v>#N/A</v>
      </c>
      <c r="H32" s="26"/>
      <c r="I32" s="26"/>
      <c r="J32" s="31"/>
      <c r="K32" s="31"/>
      <c r="L32" s="18"/>
      <c r="M32" s="2" t="e">
        <f>VLOOKUP(E32,Riferimento!$E$3:$H$181,4,FALSE)</f>
        <v>#N/A</v>
      </c>
      <c r="N32" s="25"/>
      <c r="O32" s="43" t="e">
        <f>VLOOKUP(E32,Riferimento!$E$3:$I$181,5,FALSE)</f>
        <v>#N/A</v>
      </c>
      <c r="P32" s="44" t="e">
        <f t="shared" si="0"/>
        <v>#N/A</v>
      </c>
      <c r="Q32" s="44" t="e">
        <f>VLOOKUP(E32,Riferimento!$E$3:$J$181,6,FALSE)</f>
        <v>#N/A</v>
      </c>
      <c r="R32" s="25"/>
      <c r="S32" s="34"/>
    </row>
    <row r="33" spans="1:19" x14ac:dyDescent="0.25">
      <c r="A33" s="20"/>
      <c r="B33" s="18"/>
      <c r="C33" s="18" t="e">
        <f>VLOOKUP(B33, Riferimento!M$3:N75, 2, 0)</f>
        <v>#N/A</v>
      </c>
      <c r="D33" s="20"/>
      <c r="E33" s="18"/>
      <c r="F33" s="2" t="e">
        <f>VLOOKUP(E33,Riferimento!$E$3:$H$183,3,FALSE)</f>
        <v>#N/A</v>
      </c>
      <c r="G33" s="2" t="e">
        <f>VLOOKUP(E33,Riferimento!$E$3:$H$181,2,FALSE)</f>
        <v>#N/A</v>
      </c>
      <c r="H33" s="26"/>
      <c r="I33" s="26"/>
      <c r="J33" s="31"/>
      <c r="K33" s="31"/>
      <c r="L33" s="18"/>
      <c r="M33" s="2" t="e">
        <f>VLOOKUP(E33,Riferimento!$E$3:$H$181,4,FALSE)</f>
        <v>#N/A</v>
      </c>
      <c r="N33" s="25"/>
      <c r="O33" s="43" t="e">
        <f>VLOOKUP(E33,Riferimento!$E$3:$I$181,5,FALSE)</f>
        <v>#N/A</v>
      </c>
      <c r="P33" s="44" t="e">
        <f t="shared" si="0"/>
        <v>#N/A</v>
      </c>
      <c r="Q33" s="44" t="e">
        <f>VLOOKUP(E33,Riferimento!$E$3:$J$181,6,FALSE)</f>
        <v>#N/A</v>
      </c>
      <c r="R33" s="25"/>
      <c r="S33" s="34"/>
    </row>
    <row r="34" spans="1:19" x14ac:dyDescent="0.25">
      <c r="A34" s="20"/>
      <c r="B34" s="18"/>
      <c r="C34" s="18" t="e">
        <f>VLOOKUP(B34, Riferimento!M$3:N76, 2, 0)</f>
        <v>#N/A</v>
      </c>
      <c r="D34" s="20"/>
      <c r="E34" s="18"/>
      <c r="F34" s="2" t="e">
        <f>VLOOKUP(E34,Riferimento!$E$3:$H$183,3,FALSE)</f>
        <v>#N/A</v>
      </c>
      <c r="G34" s="2" t="e">
        <f>VLOOKUP(E34,Riferimento!$E$3:$H$181,2,FALSE)</f>
        <v>#N/A</v>
      </c>
      <c r="H34" s="26"/>
      <c r="I34" s="26"/>
      <c r="J34" s="31"/>
      <c r="K34" s="31"/>
      <c r="L34" s="18"/>
      <c r="M34" s="2" t="e">
        <f>VLOOKUP(E34,Riferimento!$E$3:$H$181,4,FALSE)</f>
        <v>#N/A</v>
      </c>
      <c r="N34" s="25"/>
      <c r="O34" s="43" t="e">
        <f>VLOOKUP(E34,Riferimento!$E$3:$I$181,5,FALSE)</f>
        <v>#N/A</v>
      </c>
      <c r="P34" s="44" t="e">
        <f t="shared" si="0"/>
        <v>#N/A</v>
      </c>
      <c r="Q34" s="44" t="e">
        <f>VLOOKUP(E34,Riferimento!$E$3:$J$181,6,FALSE)</f>
        <v>#N/A</v>
      </c>
      <c r="R34" s="25"/>
      <c r="S34" s="34"/>
    </row>
    <row r="35" spans="1:19" x14ac:dyDescent="0.25">
      <c r="A35" s="20"/>
      <c r="B35" s="18"/>
      <c r="C35" s="18" t="e">
        <f>VLOOKUP(B35, Riferimento!M$3:N77, 2, 0)</f>
        <v>#N/A</v>
      </c>
      <c r="D35" s="20"/>
      <c r="E35" s="18"/>
      <c r="F35" s="2" t="e">
        <f>VLOOKUP(E35,Riferimento!$E$3:$H$183,3,FALSE)</f>
        <v>#N/A</v>
      </c>
      <c r="G35" s="2" t="e">
        <f>VLOOKUP(E35,Riferimento!$E$3:$H$181,2,FALSE)</f>
        <v>#N/A</v>
      </c>
      <c r="H35" s="26"/>
      <c r="I35" s="26"/>
      <c r="J35" s="31"/>
      <c r="K35" s="31"/>
      <c r="L35" s="18"/>
      <c r="M35" s="2" t="e">
        <f>VLOOKUP(E35,Riferimento!$E$3:$H$181,4,FALSE)</f>
        <v>#N/A</v>
      </c>
      <c r="N35" s="25"/>
      <c r="O35" s="43" t="e">
        <f>VLOOKUP(E35,Riferimento!$E$3:$I$181,5,FALSE)</f>
        <v>#N/A</v>
      </c>
      <c r="P35" s="44" t="e">
        <f t="shared" si="0"/>
        <v>#N/A</v>
      </c>
      <c r="Q35" s="44" t="e">
        <f>VLOOKUP(E35,Riferimento!$E$3:$J$181,6,FALSE)</f>
        <v>#N/A</v>
      </c>
      <c r="R35" s="25"/>
      <c r="S35" s="34"/>
    </row>
    <row r="36" spans="1:19" x14ac:dyDescent="0.25">
      <c r="A36" s="20"/>
      <c r="B36" s="18"/>
      <c r="C36" s="18" t="e">
        <f>VLOOKUP(B36, Riferimento!M$3:N78, 2, 0)</f>
        <v>#N/A</v>
      </c>
      <c r="D36" s="20"/>
      <c r="E36" s="18"/>
      <c r="F36" s="2" t="e">
        <f>VLOOKUP(E36,Riferimento!$E$3:$H$183,3,FALSE)</f>
        <v>#N/A</v>
      </c>
      <c r="G36" s="2" t="e">
        <f>VLOOKUP(E36,Riferimento!$E$3:$H$181,2,FALSE)</f>
        <v>#N/A</v>
      </c>
      <c r="H36" s="26"/>
      <c r="I36" s="26"/>
      <c r="J36" s="31"/>
      <c r="K36" s="31"/>
      <c r="L36" s="18"/>
      <c r="M36" s="2" t="e">
        <f>VLOOKUP(E36,Riferimento!$E$3:$H$181,4,FALSE)</f>
        <v>#N/A</v>
      </c>
      <c r="N36" s="25"/>
      <c r="O36" s="43" t="e">
        <f>VLOOKUP(E36,Riferimento!$E$3:$I$181,5,FALSE)</f>
        <v>#N/A</v>
      </c>
      <c r="P36" s="44" t="e">
        <f t="shared" si="0"/>
        <v>#N/A</v>
      </c>
      <c r="Q36" s="44" t="e">
        <f>VLOOKUP(E36,Riferimento!$E$3:$J$181,6,FALSE)</f>
        <v>#N/A</v>
      </c>
      <c r="R36" s="25"/>
      <c r="S36" s="34"/>
    </row>
    <row r="37" spans="1:19" x14ac:dyDescent="0.25">
      <c r="A37" s="20"/>
      <c r="B37" s="18"/>
      <c r="C37" s="18" t="e">
        <f>VLOOKUP(B37, Riferimento!M$3:N79, 2, 0)</f>
        <v>#N/A</v>
      </c>
      <c r="D37" s="20"/>
      <c r="E37" s="18"/>
      <c r="F37" s="2" t="e">
        <f>VLOOKUP(E37,Riferimento!$E$3:$H$183,3,FALSE)</f>
        <v>#N/A</v>
      </c>
      <c r="G37" s="2" t="e">
        <f>VLOOKUP(E37,Riferimento!$E$3:$H$181,2,FALSE)</f>
        <v>#N/A</v>
      </c>
      <c r="H37" s="26"/>
      <c r="I37" s="26"/>
      <c r="J37" s="31"/>
      <c r="K37" s="31"/>
      <c r="L37" s="18"/>
      <c r="M37" s="2" t="e">
        <f>VLOOKUP(E37,Riferimento!$E$3:$H$181,4,FALSE)</f>
        <v>#N/A</v>
      </c>
      <c r="N37" s="25"/>
      <c r="O37" s="43" t="e">
        <f>VLOOKUP(E37,Riferimento!$E$3:$I$181,5,FALSE)</f>
        <v>#N/A</v>
      </c>
      <c r="P37" s="44" t="e">
        <f t="shared" si="0"/>
        <v>#N/A</v>
      </c>
      <c r="Q37" s="44" t="e">
        <f>VLOOKUP(E37,Riferimento!$E$3:$J$181,6,FALSE)</f>
        <v>#N/A</v>
      </c>
      <c r="R37" s="25"/>
      <c r="S37" s="34"/>
    </row>
    <row r="38" spans="1:19" x14ac:dyDescent="0.25">
      <c r="A38" s="20"/>
      <c r="B38" s="18"/>
      <c r="C38" s="18" t="e">
        <f>VLOOKUP(B38, Riferimento!M$3:N80, 2, 0)</f>
        <v>#N/A</v>
      </c>
      <c r="D38" s="20"/>
      <c r="E38" s="18"/>
      <c r="F38" s="2" t="e">
        <f>VLOOKUP(E38,Riferimento!$E$3:$H$183,3,FALSE)</f>
        <v>#N/A</v>
      </c>
      <c r="G38" s="2" t="e">
        <f>VLOOKUP(E38,Riferimento!$E$3:$H$181,2,FALSE)</f>
        <v>#N/A</v>
      </c>
      <c r="H38" s="26"/>
      <c r="I38" s="26"/>
      <c r="J38" s="31"/>
      <c r="K38" s="31"/>
      <c r="L38" s="18"/>
      <c r="M38" s="2" t="e">
        <f>VLOOKUP(E38,Riferimento!$E$3:$H$181,4,FALSE)</f>
        <v>#N/A</v>
      </c>
      <c r="N38" s="25"/>
      <c r="O38" s="43" t="e">
        <f>VLOOKUP(E38,Riferimento!$E$3:$I$181,5,FALSE)</f>
        <v>#N/A</v>
      </c>
      <c r="P38" s="44" t="e">
        <f t="shared" si="0"/>
        <v>#N/A</v>
      </c>
      <c r="Q38" s="44" t="e">
        <f>VLOOKUP(E38,Riferimento!$E$3:$J$181,6,FALSE)</f>
        <v>#N/A</v>
      </c>
      <c r="R38" s="25"/>
      <c r="S38" s="34"/>
    </row>
    <row r="39" spans="1:19" x14ac:dyDescent="0.25">
      <c r="A39" s="20"/>
      <c r="B39" s="18"/>
      <c r="C39" s="18" t="e">
        <f>VLOOKUP(B39, Riferimento!M$3:N81, 2, 0)</f>
        <v>#N/A</v>
      </c>
      <c r="D39" s="20"/>
      <c r="E39" s="18"/>
      <c r="F39" s="2" t="e">
        <f>VLOOKUP(E39,Riferimento!$E$3:$H$183,3,FALSE)</f>
        <v>#N/A</v>
      </c>
      <c r="G39" s="2" t="e">
        <f>VLOOKUP(E39,Riferimento!$E$3:$H$181,2,FALSE)</f>
        <v>#N/A</v>
      </c>
      <c r="H39" s="26"/>
      <c r="I39" s="26"/>
      <c r="J39" s="31"/>
      <c r="K39" s="31"/>
      <c r="L39" s="18"/>
      <c r="M39" s="2" t="e">
        <f>VLOOKUP(E39,Riferimento!$E$3:$H$181,4,FALSE)</f>
        <v>#N/A</v>
      </c>
      <c r="N39" s="25"/>
      <c r="O39" s="43" t="e">
        <f>VLOOKUP(E39,Riferimento!$E$3:$I$181,5,FALSE)</f>
        <v>#N/A</v>
      </c>
      <c r="P39" s="44" t="e">
        <f t="shared" si="0"/>
        <v>#N/A</v>
      </c>
      <c r="Q39" s="44" t="e">
        <f>VLOOKUP(E39,Riferimento!$E$3:$J$181,6,FALSE)</f>
        <v>#N/A</v>
      </c>
      <c r="R39" s="25"/>
      <c r="S39" s="34"/>
    </row>
    <row r="40" spans="1:19" x14ac:dyDescent="0.25">
      <c r="A40" s="20"/>
      <c r="B40" s="18"/>
      <c r="C40" s="18" t="e">
        <f>VLOOKUP(B40, Riferimento!M$3:N82, 2, 0)</f>
        <v>#N/A</v>
      </c>
      <c r="D40" s="20"/>
      <c r="E40" s="18"/>
      <c r="F40" s="2" t="e">
        <f>VLOOKUP(E40,Riferimento!$E$3:$H$183,3,FALSE)</f>
        <v>#N/A</v>
      </c>
      <c r="G40" s="2" t="e">
        <f>VLOOKUP(E40,Riferimento!$E$3:$H$181,2,FALSE)</f>
        <v>#N/A</v>
      </c>
      <c r="H40" s="26"/>
      <c r="I40" s="26"/>
      <c r="J40" s="31"/>
      <c r="K40" s="31"/>
      <c r="L40" s="18"/>
      <c r="M40" s="2" t="e">
        <f>VLOOKUP(E40,Riferimento!$E$3:$H$181,4,FALSE)</f>
        <v>#N/A</v>
      </c>
      <c r="N40" s="25"/>
      <c r="O40" s="43" t="e">
        <f>VLOOKUP(E40,Riferimento!$E$3:$I$181,5,FALSE)</f>
        <v>#N/A</v>
      </c>
      <c r="P40" s="44" t="e">
        <f t="shared" si="0"/>
        <v>#N/A</v>
      </c>
      <c r="Q40" s="44" t="e">
        <f>VLOOKUP(E40,Riferimento!$E$3:$J$181,6,FALSE)</f>
        <v>#N/A</v>
      </c>
      <c r="R40" s="25"/>
      <c r="S40" s="34"/>
    </row>
    <row r="41" spans="1:19" x14ac:dyDescent="0.25">
      <c r="A41" s="20"/>
      <c r="B41" s="18"/>
      <c r="C41" s="18" t="e">
        <f>VLOOKUP(B41, Riferimento!M$3:N83, 2, 0)</f>
        <v>#N/A</v>
      </c>
      <c r="D41" s="20"/>
      <c r="E41" s="18"/>
      <c r="F41" s="2" t="e">
        <f>VLOOKUP(E41,Riferimento!$E$3:$H$183,3,FALSE)</f>
        <v>#N/A</v>
      </c>
      <c r="G41" s="2" t="e">
        <f>VLOOKUP(E41,Riferimento!$E$3:$H$181,2,FALSE)</f>
        <v>#N/A</v>
      </c>
      <c r="H41" s="26"/>
      <c r="I41" s="26"/>
      <c r="J41" s="31"/>
      <c r="K41" s="31"/>
      <c r="L41" s="18"/>
      <c r="M41" s="2" t="e">
        <f>VLOOKUP(E41,Riferimento!$E$3:$H$181,4,FALSE)</f>
        <v>#N/A</v>
      </c>
      <c r="N41" s="25"/>
      <c r="O41" s="43" t="e">
        <f>VLOOKUP(E41,Riferimento!$E$3:$I$181,5,FALSE)</f>
        <v>#N/A</v>
      </c>
      <c r="P41" s="44" t="e">
        <f t="shared" si="0"/>
        <v>#N/A</v>
      </c>
      <c r="Q41" s="44" t="e">
        <f>VLOOKUP(E41,Riferimento!$E$3:$J$181,6,FALSE)</f>
        <v>#N/A</v>
      </c>
      <c r="R41" s="25"/>
      <c r="S41" s="34"/>
    </row>
    <row r="42" spans="1:19" x14ac:dyDescent="0.25">
      <c r="A42" s="20"/>
      <c r="B42" s="18"/>
      <c r="C42" s="18" t="e">
        <f>VLOOKUP(B42, Riferimento!M$3:N84, 2, 0)</f>
        <v>#N/A</v>
      </c>
      <c r="D42" s="20"/>
      <c r="E42" s="18"/>
      <c r="F42" s="2" t="e">
        <f>VLOOKUP(E42,Riferimento!$E$3:$H$183,3,FALSE)</f>
        <v>#N/A</v>
      </c>
      <c r="G42" s="2" t="e">
        <f>VLOOKUP(E42,Riferimento!$E$3:$H$181,2,FALSE)</f>
        <v>#N/A</v>
      </c>
      <c r="H42" s="26"/>
      <c r="I42" s="26"/>
      <c r="J42" s="31"/>
      <c r="K42" s="31"/>
      <c r="L42" s="18"/>
      <c r="M42" s="2" t="e">
        <f>VLOOKUP(E42,Riferimento!$E$3:$H$181,4,FALSE)</f>
        <v>#N/A</v>
      </c>
      <c r="N42" s="25"/>
      <c r="O42" s="43" t="e">
        <f>VLOOKUP(E42,Riferimento!$E$3:$I$181,5,FALSE)</f>
        <v>#N/A</v>
      </c>
      <c r="P42" s="44" t="e">
        <f t="shared" si="0"/>
        <v>#N/A</v>
      </c>
      <c r="Q42" s="44" t="e">
        <f>VLOOKUP(E42,Riferimento!$E$3:$J$181,6,FALSE)</f>
        <v>#N/A</v>
      </c>
      <c r="R42" s="25"/>
      <c r="S42" s="34"/>
    </row>
    <row r="43" spans="1:19" x14ac:dyDescent="0.25">
      <c r="A43" s="20"/>
      <c r="B43" s="18"/>
      <c r="C43" s="18" t="e">
        <f>VLOOKUP(B43, Riferimento!M$3:N85, 2, 0)</f>
        <v>#N/A</v>
      </c>
      <c r="D43" s="20"/>
      <c r="E43" s="18"/>
      <c r="F43" s="2" t="e">
        <f>VLOOKUP(E43,Riferimento!$E$3:$H$183,3,FALSE)</f>
        <v>#N/A</v>
      </c>
      <c r="G43" s="2" t="e">
        <f>VLOOKUP(E43,Riferimento!$E$3:$H$181,2,FALSE)</f>
        <v>#N/A</v>
      </c>
      <c r="H43" s="26"/>
      <c r="I43" s="26"/>
      <c r="J43" s="31"/>
      <c r="K43" s="31"/>
      <c r="L43" s="18"/>
      <c r="M43" s="2" t="e">
        <f>VLOOKUP(E43,Riferimento!$E$3:$H$181,4,FALSE)</f>
        <v>#N/A</v>
      </c>
      <c r="N43" s="25"/>
      <c r="O43" s="43" t="e">
        <f>VLOOKUP(E43,Riferimento!$E$3:$I$181,5,FALSE)</f>
        <v>#N/A</v>
      </c>
      <c r="P43" s="44" t="e">
        <f t="shared" si="0"/>
        <v>#N/A</v>
      </c>
      <c r="Q43" s="44" t="e">
        <f>VLOOKUP(E43,Riferimento!$E$3:$J$181,6,FALSE)</f>
        <v>#N/A</v>
      </c>
      <c r="R43" s="25"/>
      <c r="S43" s="34"/>
    </row>
    <row r="44" spans="1:19" x14ac:dyDescent="0.25">
      <c r="A44" s="20"/>
      <c r="B44" s="18"/>
      <c r="C44" s="18" t="e">
        <f>VLOOKUP(B44, Riferimento!M$3:N86, 2, 0)</f>
        <v>#N/A</v>
      </c>
      <c r="D44" s="20"/>
      <c r="E44" s="18"/>
      <c r="F44" s="2" t="e">
        <f>VLOOKUP(E44,Riferimento!$E$3:$H$183,3,FALSE)</f>
        <v>#N/A</v>
      </c>
      <c r="G44" s="2" t="e">
        <f>VLOOKUP(E44,Riferimento!$E$3:$H$181,2,FALSE)</f>
        <v>#N/A</v>
      </c>
      <c r="H44" s="26"/>
      <c r="I44" s="26"/>
      <c r="J44" s="31"/>
      <c r="K44" s="31"/>
      <c r="L44" s="18"/>
      <c r="M44" s="2" t="e">
        <f>VLOOKUP(E44,Riferimento!$E$3:$H$181,4,FALSE)</f>
        <v>#N/A</v>
      </c>
      <c r="N44" s="25"/>
      <c r="O44" s="43" t="e">
        <f>VLOOKUP(E44,Riferimento!$E$3:$I$181,5,FALSE)</f>
        <v>#N/A</v>
      </c>
      <c r="P44" s="44" t="e">
        <f t="shared" si="0"/>
        <v>#N/A</v>
      </c>
      <c r="Q44" s="44" t="e">
        <f>VLOOKUP(E44,Riferimento!$E$3:$J$181,6,FALSE)</f>
        <v>#N/A</v>
      </c>
      <c r="R44" s="25"/>
      <c r="S44" s="34"/>
    </row>
    <row r="45" spans="1:19" x14ac:dyDescent="0.25">
      <c r="A45" s="20"/>
      <c r="B45" s="18"/>
      <c r="C45" s="18" t="e">
        <f>VLOOKUP(B45, Riferimento!M$3:N87, 2, 0)</f>
        <v>#N/A</v>
      </c>
      <c r="D45" s="20"/>
      <c r="E45" s="18"/>
      <c r="F45" s="2" t="e">
        <f>VLOOKUP(E45,Riferimento!$E$3:$H$183,3,FALSE)</f>
        <v>#N/A</v>
      </c>
      <c r="G45" s="2" t="e">
        <f>VLOOKUP(E45,Riferimento!$E$3:$H$181,2,FALSE)</f>
        <v>#N/A</v>
      </c>
      <c r="H45" s="26"/>
      <c r="I45" s="26"/>
      <c r="J45" s="31"/>
      <c r="K45" s="31"/>
      <c r="L45" s="18"/>
      <c r="M45" s="2" t="e">
        <f>VLOOKUP(E45,Riferimento!$E$3:$H$181,4,FALSE)</f>
        <v>#N/A</v>
      </c>
      <c r="N45" s="25"/>
      <c r="O45" s="43" t="e">
        <f>VLOOKUP(E45,Riferimento!$E$3:$I$181,5,FALSE)</f>
        <v>#N/A</v>
      </c>
      <c r="P45" s="44" t="e">
        <f t="shared" si="0"/>
        <v>#N/A</v>
      </c>
      <c r="Q45" s="44" t="e">
        <f>VLOOKUP(E45,Riferimento!$E$3:$J$181,6,FALSE)</f>
        <v>#N/A</v>
      </c>
      <c r="R45" s="25"/>
      <c r="S45" s="34"/>
    </row>
    <row r="46" spans="1:19" x14ac:dyDescent="0.25">
      <c r="A46" s="20"/>
      <c r="B46" s="18"/>
      <c r="C46" s="18" t="e">
        <f>VLOOKUP(B46, Riferimento!M$3:N88, 2, 0)</f>
        <v>#N/A</v>
      </c>
      <c r="D46" s="20"/>
      <c r="E46" s="18"/>
      <c r="F46" s="2" t="e">
        <f>VLOOKUP(E46,Riferimento!$E$3:$H$183,3,FALSE)</f>
        <v>#N/A</v>
      </c>
      <c r="G46" s="2" t="e">
        <f>VLOOKUP(E46,Riferimento!$E$3:$H$181,2,FALSE)</f>
        <v>#N/A</v>
      </c>
      <c r="H46" s="26"/>
      <c r="I46" s="26"/>
      <c r="J46" s="31"/>
      <c r="K46" s="31"/>
      <c r="L46" s="18"/>
      <c r="M46" s="2" t="e">
        <f>VLOOKUP(E46,Riferimento!$E$3:$H$181,4,FALSE)</f>
        <v>#N/A</v>
      </c>
      <c r="N46" s="25"/>
      <c r="O46" s="43" t="e">
        <f>VLOOKUP(E46,Riferimento!$E$3:$I$181,5,FALSE)</f>
        <v>#N/A</v>
      </c>
      <c r="P46" s="44" t="e">
        <f t="shared" si="0"/>
        <v>#N/A</v>
      </c>
      <c r="Q46" s="44" t="e">
        <f>VLOOKUP(E46,Riferimento!$E$3:$J$181,6,FALSE)</f>
        <v>#N/A</v>
      </c>
      <c r="R46" s="25"/>
      <c r="S46" s="34"/>
    </row>
    <row r="47" spans="1:19" x14ac:dyDescent="0.25">
      <c r="A47" s="20"/>
      <c r="B47" s="18"/>
      <c r="C47" s="18" t="e">
        <f>VLOOKUP(B47, Riferimento!M$3:N89, 2, 0)</f>
        <v>#N/A</v>
      </c>
      <c r="D47" s="20"/>
      <c r="E47" s="18"/>
      <c r="F47" s="2" t="e">
        <f>VLOOKUP(E47,Riferimento!$E$3:$H$183,3,FALSE)</f>
        <v>#N/A</v>
      </c>
      <c r="G47" s="2" t="e">
        <f>VLOOKUP(E47,Riferimento!$E$3:$H$181,2,FALSE)</f>
        <v>#N/A</v>
      </c>
      <c r="H47" s="26"/>
      <c r="I47" s="26"/>
      <c r="J47" s="31"/>
      <c r="K47" s="31"/>
      <c r="L47" s="18"/>
      <c r="M47" s="2" t="e">
        <f>VLOOKUP(E47,Riferimento!$E$3:$H$181,4,FALSE)</f>
        <v>#N/A</v>
      </c>
      <c r="N47" s="25"/>
      <c r="O47" s="43" t="e">
        <f>VLOOKUP(E47,Riferimento!$E$3:$I$181,5,FALSE)</f>
        <v>#N/A</v>
      </c>
      <c r="P47" s="44" t="e">
        <f t="shared" si="0"/>
        <v>#N/A</v>
      </c>
      <c r="Q47" s="44" t="e">
        <f>VLOOKUP(E47,Riferimento!$E$3:$J$181,6,FALSE)</f>
        <v>#N/A</v>
      </c>
      <c r="R47" s="25"/>
      <c r="S47" s="34"/>
    </row>
    <row r="48" spans="1:19" x14ac:dyDescent="0.25">
      <c r="A48" s="20"/>
      <c r="B48" s="18"/>
      <c r="C48" s="18" t="e">
        <f>VLOOKUP(B48, Riferimento!M$3:N90, 2, 0)</f>
        <v>#N/A</v>
      </c>
      <c r="D48" s="20"/>
      <c r="E48" s="18"/>
      <c r="F48" s="2" t="e">
        <f>VLOOKUP(E48,Riferimento!$E$3:$H$183,3,FALSE)</f>
        <v>#N/A</v>
      </c>
      <c r="G48" s="2" t="e">
        <f>VLOOKUP(E48,Riferimento!$E$3:$H$181,2,FALSE)</f>
        <v>#N/A</v>
      </c>
      <c r="H48" s="26"/>
      <c r="I48" s="26"/>
      <c r="J48" s="31"/>
      <c r="K48" s="31"/>
      <c r="L48" s="18"/>
      <c r="M48" s="2" t="e">
        <f>VLOOKUP(E48,Riferimento!$E$3:$H$181,4,FALSE)</f>
        <v>#N/A</v>
      </c>
      <c r="N48" s="25"/>
      <c r="O48" s="43" t="e">
        <f>VLOOKUP(E48,Riferimento!$E$3:$I$181,5,FALSE)</f>
        <v>#N/A</v>
      </c>
      <c r="P48" s="44" t="e">
        <f t="shared" si="0"/>
        <v>#N/A</v>
      </c>
      <c r="Q48" s="44" t="e">
        <f>VLOOKUP(E48,Riferimento!$E$3:$J$181,6,FALSE)</f>
        <v>#N/A</v>
      </c>
      <c r="R48" s="25"/>
      <c r="S48" s="34"/>
    </row>
    <row r="49" spans="1:19" x14ac:dyDescent="0.25">
      <c r="A49" s="20"/>
      <c r="B49" s="18"/>
      <c r="C49" s="18" t="e">
        <f>VLOOKUP(B49, Riferimento!M$3:N91, 2, 0)</f>
        <v>#N/A</v>
      </c>
      <c r="D49" s="20"/>
      <c r="E49" s="18"/>
      <c r="F49" s="2" t="e">
        <f>VLOOKUP(E49,Riferimento!$E$3:$H$183,3,FALSE)</f>
        <v>#N/A</v>
      </c>
      <c r="G49" s="2" t="e">
        <f>VLOOKUP(E49,Riferimento!$E$3:$H$181,2,FALSE)</f>
        <v>#N/A</v>
      </c>
      <c r="H49" s="26"/>
      <c r="I49" s="26"/>
      <c r="J49" s="31"/>
      <c r="K49" s="31"/>
      <c r="L49" s="18"/>
      <c r="M49" s="2" t="e">
        <f>VLOOKUP(E49,Riferimento!$E$3:$H$181,4,FALSE)</f>
        <v>#N/A</v>
      </c>
      <c r="N49" s="25"/>
      <c r="O49" s="43" t="e">
        <f>VLOOKUP(E49,Riferimento!$E$3:$I$181,5,FALSE)</f>
        <v>#N/A</v>
      </c>
      <c r="P49" s="44" t="e">
        <f t="shared" si="0"/>
        <v>#N/A</v>
      </c>
      <c r="Q49" s="44" t="e">
        <f>VLOOKUP(E49,Riferimento!$E$3:$J$181,6,FALSE)</f>
        <v>#N/A</v>
      </c>
      <c r="R49" s="25"/>
      <c r="S49" s="34"/>
    </row>
    <row r="50" spans="1:19" x14ac:dyDescent="0.25">
      <c r="A50" s="20"/>
      <c r="B50" s="18"/>
      <c r="C50" s="18" t="e">
        <f>VLOOKUP(B50, Riferimento!M$3:N92, 2, 0)</f>
        <v>#N/A</v>
      </c>
      <c r="D50" s="20"/>
      <c r="E50" s="18"/>
      <c r="F50" s="2" t="e">
        <f>VLOOKUP(E50,Riferimento!$E$3:$H$183,3,FALSE)</f>
        <v>#N/A</v>
      </c>
      <c r="G50" s="2" t="e">
        <f>VLOOKUP(E50,Riferimento!$E$3:$H$181,2,FALSE)</f>
        <v>#N/A</v>
      </c>
      <c r="H50" s="26"/>
      <c r="I50" s="26"/>
      <c r="J50" s="31"/>
      <c r="K50" s="31"/>
      <c r="L50" s="18"/>
      <c r="M50" s="2" t="e">
        <f>VLOOKUP(E50,Riferimento!$E$3:$H$181,4,FALSE)</f>
        <v>#N/A</v>
      </c>
      <c r="N50" s="25"/>
      <c r="O50" s="43" t="e">
        <f>VLOOKUP(E50,Riferimento!$E$3:$I$181,5,FALSE)</f>
        <v>#N/A</v>
      </c>
      <c r="P50" s="44" t="e">
        <f t="shared" si="0"/>
        <v>#N/A</v>
      </c>
      <c r="Q50" s="44" t="e">
        <f>VLOOKUP(E50,Riferimento!$E$3:$J$181,6,FALSE)</f>
        <v>#N/A</v>
      </c>
      <c r="R50" s="25"/>
      <c r="S50" s="34"/>
    </row>
    <row r="51" spans="1:19" x14ac:dyDescent="0.25">
      <c r="A51" s="20"/>
      <c r="B51" s="18"/>
      <c r="C51" s="18" t="e">
        <f>VLOOKUP(B51, Riferimento!M$3:N93, 2, 0)</f>
        <v>#N/A</v>
      </c>
      <c r="D51" s="20"/>
      <c r="E51" s="18"/>
      <c r="F51" s="2" t="e">
        <f>VLOOKUP(E51,Riferimento!$E$3:$H$183,3,FALSE)</f>
        <v>#N/A</v>
      </c>
      <c r="G51" s="2" t="e">
        <f>VLOOKUP(E51,Riferimento!$E$3:$H$181,2,FALSE)</f>
        <v>#N/A</v>
      </c>
      <c r="H51" s="26"/>
      <c r="I51" s="26"/>
      <c r="J51" s="31"/>
      <c r="K51" s="31"/>
      <c r="L51" s="18"/>
      <c r="M51" s="2" t="e">
        <f>VLOOKUP(E51,Riferimento!$E$3:$H$181,4,FALSE)</f>
        <v>#N/A</v>
      </c>
      <c r="N51" s="25"/>
      <c r="O51" s="43" t="e">
        <f>VLOOKUP(E51,Riferimento!$E$3:$I$181,5,FALSE)</f>
        <v>#N/A</v>
      </c>
      <c r="P51" s="44" t="e">
        <f t="shared" si="0"/>
        <v>#N/A</v>
      </c>
      <c r="Q51" s="44" t="e">
        <f>VLOOKUP(E51,Riferimento!$E$3:$J$181,6,FALSE)</f>
        <v>#N/A</v>
      </c>
      <c r="R51" s="25"/>
      <c r="S51" s="34"/>
    </row>
    <row r="52" spans="1:19" x14ac:dyDescent="0.25">
      <c r="A52" s="20"/>
      <c r="B52" s="18"/>
      <c r="C52" s="18" t="e">
        <f>VLOOKUP(B52, Riferimento!M$3:N94, 2, 0)</f>
        <v>#N/A</v>
      </c>
      <c r="D52" s="20"/>
      <c r="E52" s="18"/>
      <c r="F52" s="2" t="e">
        <f>VLOOKUP(E52,Riferimento!$E$3:$H$183,3,FALSE)</f>
        <v>#N/A</v>
      </c>
      <c r="G52" s="2" t="e">
        <f>VLOOKUP(E52,Riferimento!$E$3:$H$181,2,FALSE)</f>
        <v>#N/A</v>
      </c>
      <c r="H52" s="26"/>
      <c r="I52" s="26"/>
      <c r="J52" s="31"/>
      <c r="K52" s="31"/>
      <c r="L52" s="18"/>
      <c r="M52" s="2" t="e">
        <f>VLOOKUP(E52,Riferimento!$E$3:$H$181,4,FALSE)</f>
        <v>#N/A</v>
      </c>
      <c r="N52" s="25"/>
      <c r="O52" s="43" t="e">
        <f>VLOOKUP(E52,Riferimento!$E$3:$I$181,5,FALSE)</f>
        <v>#N/A</v>
      </c>
      <c r="P52" s="44" t="e">
        <f t="shared" si="0"/>
        <v>#N/A</v>
      </c>
      <c r="Q52" s="44" t="e">
        <f>VLOOKUP(E52,Riferimento!$E$3:$J$181,6,FALSE)</f>
        <v>#N/A</v>
      </c>
      <c r="R52" s="25"/>
      <c r="S52" s="34"/>
    </row>
    <row r="53" spans="1:19" x14ac:dyDescent="0.25">
      <c r="A53" s="20"/>
      <c r="B53" s="18"/>
      <c r="C53" s="18" t="e">
        <f>VLOOKUP(B53, Riferimento!M$3:N95, 2, 0)</f>
        <v>#N/A</v>
      </c>
      <c r="D53" s="20"/>
      <c r="E53" s="18"/>
      <c r="F53" s="2" t="e">
        <f>VLOOKUP(E53,Riferimento!$E$3:$H$183,3,FALSE)</f>
        <v>#N/A</v>
      </c>
      <c r="G53" s="2" t="e">
        <f>VLOOKUP(E53,Riferimento!$E$3:$H$181,2,FALSE)</f>
        <v>#N/A</v>
      </c>
      <c r="H53" s="26"/>
      <c r="I53" s="26"/>
      <c r="J53" s="31"/>
      <c r="K53" s="31"/>
      <c r="L53" s="18"/>
      <c r="M53" s="2" t="e">
        <f>VLOOKUP(E53,Riferimento!$E$3:$H$181,4,FALSE)</f>
        <v>#N/A</v>
      </c>
      <c r="N53" s="25"/>
      <c r="O53" s="43" t="e">
        <f>VLOOKUP(E53,Riferimento!$E$3:$I$181,5,FALSE)</f>
        <v>#N/A</v>
      </c>
      <c r="P53" s="44" t="e">
        <f t="shared" si="0"/>
        <v>#N/A</v>
      </c>
      <c r="Q53" s="44" t="e">
        <f>VLOOKUP(E53,Riferimento!$E$3:$J$181,6,FALSE)</f>
        <v>#N/A</v>
      </c>
      <c r="R53" s="25"/>
      <c r="S53" s="34"/>
    </row>
    <row r="54" spans="1:19" x14ac:dyDescent="0.25">
      <c r="A54" s="20"/>
      <c r="B54" s="18"/>
      <c r="C54" s="18" t="e">
        <f>VLOOKUP(B54, Riferimento!M$3:N96, 2, 0)</f>
        <v>#N/A</v>
      </c>
      <c r="D54" s="20"/>
      <c r="E54" s="18"/>
      <c r="F54" s="2" t="e">
        <f>VLOOKUP(E54,Riferimento!$E$3:$H$183,3,FALSE)</f>
        <v>#N/A</v>
      </c>
      <c r="G54" s="2" t="e">
        <f>VLOOKUP(E54,Riferimento!$E$3:$H$181,2,FALSE)</f>
        <v>#N/A</v>
      </c>
      <c r="H54" s="26"/>
      <c r="I54" s="26"/>
      <c r="J54" s="31"/>
      <c r="K54" s="31"/>
      <c r="L54" s="18"/>
      <c r="M54" s="2" t="e">
        <f>VLOOKUP(E54,Riferimento!$E$3:$H$181,4,FALSE)</f>
        <v>#N/A</v>
      </c>
      <c r="N54" s="25"/>
      <c r="O54" s="43" t="e">
        <f>VLOOKUP(E54,Riferimento!$E$3:$I$181,5,FALSE)</f>
        <v>#N/A</v>
      </c>
      <c r="P54" s="44" t="e">
        <f t="shared" si="0"/>
        <v>#N/A</v>
      </c>
      <c r="Q54" s="44" t="e">
        <f>VLOOKUP(E54,Riferimento!$E$3:$J$181,6,FALSE)</f>
        <v>#N/A</v>
      </c>
      <c r="R54" s="25"/>
      <c r="S54" s="34"/>
    </row>
    <row r="55" spans="1:19" x14ac:dyDescent="0.25">
      <c r="A55" s="20"/>
      <c r="B55" s="18"/>
      <c r="C55" s="18" t="e">
        <f>VLOOKUP(B55, Riferimento!M$3:N97, 2, 0)</f>
        <v>#N/A</v>
      </c>
      <c r="D55" s="20"/>
      <c r="E55" s="18"/>
      <c r="F55" s="2" t="e">
        <f>VLOOKUP(E55,Riferimento!$E$3:$H$183,3,FALSE)</f>
        <v>#N/A</v>
      </c>
      <c r="G55" s="2" t="e">
        <f>VLOOKUP(E55,Riferimento!$E$3:$H$181,2,FALSE)</f>
        <v>#N/A</v>
      </c>
      <c r="H55" s="26"/>
      <c r="I55" s="26"/>
      <c r="J55" s="31"/>
      <c r="K55" s="31"/>
      <c r="L55" s="18"/>
      <c r="M55" s="2" t="e">
        <f>VLOOKUP(E55,Riferimento!$E$3:$H$181,4,FALSE)</f>
        <v>#N/A</v>
      </c>
      <c r="N55" s="25"/>
      <c r="O55" s="43" t="e">
        <f>VLOOKUP(E55,Riferimento!$E$3:$I$181,5,FALSE)</f>
        <v>#N/A</v>
      </c>
      <c r="P55" s="44" t="e">
        <f t="shared" si="0"/>
        <v>#N/A</v>
      </c>
      <c r="Q55" s="44" t="e">
        <f>VLOOKUP(E55,Riferimento!$E$3:$J$181,6,FALSE)</f>
        <v>#N/A</v>
      </c>
      <c r="R55" s="25"/>
      <c r="S55" s="34"/>
    </row>
  </sheetData>
  <sheetProtection selectLockedCells="1"/>
  <mergeCells count="2">
    <mergeCell ref="A1:K1"/>
    <mergeCell ref="M1:S1"/>
  </mergeCells>
  <conditionalFormatting sqref="S3">
    <cfRule type="cellIs" dxfId="11" priority="37" operator="equal">
      <formula>"X"</formula>
    </cfRule>
  </conditionalFormatting>
  <conditionalFormatting sqref="S3">
    <cfRule type="cellIs" dxfId="10" priority="35" operator="equal">
      <formula>"no"</formula>
    </cfRule>
    <cfRule type="containsText" dxfId="9" priority="36" operator="containsText" text="Yes">
      <formula>NOT(ISERROR(SEARCH("Yes",S3)))</formula>
    </cfRule>
  </conditionalFormatting>
  <conditionalFormatting sqref="A3:A5 D4:D5 L4:R55 E4:G55 D3:R3 B3:C55">
    <cfRule type="cellIs" dxfId="8" priority="34" operator="equal">
      <formula>""</formula>
    </cfRule>
  </conditionalFormatting>
  <conditionalFormatting sqref="S5">
    <cfRule type="cellIs" dxfId="7" priority="16" operator="equal">
      <formula>"X"</formula>
    </cfRule>
  </conditionalFormatting>
  <conditionalFormatting sqref="H5:K5">
    <cfRule type="cellIs" dxfId="6" priority="15" operator="equal">
      <formula>""</formula>
    </cfRule>
  </conditionalFormatting>
  <conditionalFormatting sqref="S5">
    <cfRule type="cellIs" dxfId="5" priority="13" operator="equal">
      <formula>"no"</formula>
    </cfRule>
    <cfRule type="containsText" dxfId="4" priority="14" operator="containsText" text="Yes">
      <formula>NOT(ISERROR(SEARCH("Yes",S5)))</formula>
    </cfRule>
  </conditionalFormatting>
  <conditionalFormatting sqref="S4">
    <cfRule type="cellIs" dxfId="3" priority="4" operator="equal">
      <formula>"no"</formula>
    </cfRule>
    <cfRule type="containsText" dxfId="2" priority="5" operator="containsText" text="Yes">
      <formula>NOT(ISERROR(SEARCH("Yes",S4)))</formula>
    </cfRule>
  </conditionalFormatting>
  <conditionalFormatting sqref="S4">
    <cfRule type="cellIs" dxfId="1" priority="7" operator="equal">
      <formula>"X"</formula>
    </cfRule>
  </conditionalFormatting>
  <conditionalFormatting sqref="H4:K4">
    <cfRule type="cellIs" dxfId="0" priority="6" operator="equal">
      <formula>""</formula>
    </cfRule>
  </conditionalFormatting>
  <dataValidations xWindow="569" yWindow="478" count="21">
    <dataValidation allowBlank="1" sqref="N3:N5 O3:R55" xr:uid="{8070A33D-D975-4910-BBE3-0B20E9027CE7}"/>
    <dataValidation type="textLength" operator="lessThanOrEqual" allowBlank="1" sqref="L3:L55" xr:uid="{4551B4B5-3D66-4FB6-805C-8B8D39D11AC4}">
      <formula1>250</formula1>
    </dataValidation>
    <dataValidation allowBlank="1" showErrorMessage="1" sqref="A4:A55 D4:D55 H3:K55" xr:uid="{44687E0A-E207-4E9B-A3E1-4D4A80426700}"/>
    <dataValidation allowBlank="1" showInputMessage="1" showErrorMessage="1" prompt="Type number from box label." sqref="A2" xr:uid="{E297D917-2EEC-4023-A527-AB7355CD7387}"/>
    <dataValidation allowBlank="1" showInputMessage="1" showErrorMessage="1" prompt="Country will auto-populate once city is selected." sqref="C2" xr:uid="{48C7A4FC-8232-4E78-8B6F-0CE0F1800F17}"/>
    <dataValidation allowBlank="1" showInputMessage="1" showErrorMessage="1" prompt="Select code. Refer to G270." sqref="E2" xr:uid="{0204E89C-37AB-4695-B6F1-084C7C66DE7B}"/>
    <dataValidation allowBlank="1" showInputMessage="1" showErrorMessage="1" prompt="Type oldest document date, day-month-year (spell out month)._x000a_" sqref="H2" xr:uid="{141A5F5A-6ED7-4082-BF73-971B142F3F50}"/>
    <dataValidation allowBlank="1" showInputMessage="1" prompt="Type newest document date, day-month-year (spell out month)." sqref="I2" xr:uid="{B3F6CC3A-980B-4768-BF13-F2421ED0D3A9}"/>
    <dataValidation allowBlank="1" showInputMessage="1" showErrorMessage="1" prompt="Type brief description of records, up to 250 characters." sqref="L2" xr:uid="{7B793B07-778E-4014-A6EE-E19020276EFE}"/>
    <dataValidation allowBlank="1" showInputMessage="1" showErrorMessage="1" prompt="Type date retention will begin, day-month-year (spell out month)." sqref="N2" xr:uid="{11C16838-1AD9-4D5B-B22A-CD9880CB3B0D}"/>
    <dataValidation allowBlank="1" showInputMessage="1" showErrorMessage="1" prompt="Data will auto-populate from Record Series selection._x000a_" sqref="Q2" xr:uid="{E248FB5E-95EA-46E6-AEC8-92B1432A16B0}"/>
    <dataValidation allowBlank="1" showInputMessage="1" showErrorMessage="1" prompt="List records for off-site storage here. Use one line for each box. Delete examples." sqref="A3" xr:uid="{ECF740A0-E24B-4B67-B06D-79D267FC5991}"/>
    <dataValidation allowBlank="1" showInputMessage="1" showErrorMessage="1" prompt="Type records holder department." sqref="D2" xr:uid="{E7C16800-6F9A-403B-A7DF-E06381A22F29}"/>
    <dataValidation showDropDown="1" showInputMessage="1" showErrorMessage="1" sqref="S3:S55" xr:uid="{A0963893-49D5-49CD-9F04-2EA550B30592}"/>
    <dataValidation allowBlank="1" showInputMessage="1" prompt="Type Project Number" sqref="J2" xr:uid="{FE5FC475-D5CA-4461-9784-8561CA9E45B1}"/>
    <dataValidation allowBlank="1" showInputMessage="1" prompt="Type Project Name from source system." sqref="K2" xr:uid="{FAA49E17-9795-497E-BD48-D7A5B86EF424}"/>
    <dataValidation allowBlank="1" showInputMessage="1" showErrorMessage="1" prompt="GRD to complete; for off-site type name of vendor, on-site type location." sqref="S2" xr:uid="{92109F29-DB5D-4434-9DA4-7C4BA18CE730}"/>
    <dataValidation allowBlank="1" showInputMessage="1" showErrorMessage="1" prompt="Retention days (auto-calculated)" sqref="O2" xr:uid="{652D2E8C-1D83-4A50-8D6B-73A5A5C73E67}"/>
    <dataValidation allowBlank="1" showInputMessage="1" showErrorMessage="1" prompt="Auto-calculated based upon trigger date + retention period." sqref="P2" xr:uid="{2800B8F0-7EE8-4F76-985E-C7CC37CD5AAC}"/>
    <dataValidation allowBlank="1" showInputMessage="1" showErrorMessage="1" prompt="GRD to complete, type in off-site storage account number." sqref="R2" xr:uid="{3110B8A7-2A76-470B-B6A5-A7A2D86A0CEA}"/>
    <dataValidation allowBlank="1" showInputMessage="1" showErrorMessage="1" prompt="Select city where records reside." sqref="B2" xr:uid="{258FA006-2788-4552-A385-0132A859DA01}"/>
  </dataValidations>
  <pageMargins left="1" right="1" top="1.25" bottom="1" header="0.5" footer="0.5"/>
  <pageSetup scale="48" fitToHeight="0" orientation="landscape" r:id="rId1"/>
  <headerFooter>
    <oddHeader xml:space="preserve">&amp;L&amp;"Arial,Normal"&amp;G&amp;C&amp;"Arial,Normal"Archival Records Storage Form  GTF-GPS-COR-24034-01  Italian Rev 0 Feb 2022
Applicable to all businesses
Owner: S. MILLAR </oddHeader>
    <oddFooter>&amp;L&amp;"Arial,Regular"&amp;9© Copyright Technip Energies  All rights reserved&amp;C&amp;"Arial,Regular"&amp;9GTF-GPS-COR-24034-1 Italian rev. 0&amp;R&amp;"Arial,Regular"&amp;9
Issued: Feb-2022</oddFooter>
  </headerFooter>
  <legacyDrawingHF r:id="rId2"/>
  <extLst>
    <ext xmlns:x14="http://schemas.microsoft.com/office/spreadsheetml/2009/9/main" uri="{CCE6A557-97BC-4b89-ADB6-D9C93CAAB3DF}">
      <x14:dataValidations xmlns:xm="http://schemas.microsoft.com/office/excel/2006/main" xWindow="569" yWindow="478" count="3">
        <x14:dataValidation type="list" allowBlank="1" errorTitle="Date" error="Provide Destruction Date" prompt="_x000a_" xr:uid="{A215AB1D-1246-49F2-9772-10123E8DEA2F}">
          <x14:formula1>
            <xm:f>Riferimento!#REF!</xm:f>
          </x14:formula1>
          <xm:sqref>A56:D69</xm:sqref>
        </x14:dataValidation>
        <x14:dataValidation type="list" allowBlank="1" showInputMessage="1" showErrorMessage="1" xr:uid="{8E446EED-332B-464E-A3CF-3E700331ED83}">
          <x14:formula1>
            <xm:f>Riferimento!$E$3:$E$175</xm:f>
          </x14:formula1>
          <xm:sqref>E3:E55</xm:sqref>
        </x14:dataValidation>
        <x14:dataValidation type="list" allowBlank="1" showInputMessage="1" showErrorMessage="1" xr:uid="{A59840D3-2E2D-4D76-94D9-F7E6F320FF9A}">
          <x14:formula1>
            <xm:f>Riferimento!$M$2:$M$45</xm:f>
          </x14:formula1>
          <xm:sqref>B3:B55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7FDCD-7A07-4CB3-BC8B-8D9F0A648175}">
  <sheetPr codeName="Sheet3"/>
  <dimension ref="A1"/>
  <sheetViews>
    <sheetView workbookViewId="0"/>
  </sheetViews>
  <sheetFormatPr defaultRowHeight="14.4" x14ac:dyDescent="0.3"/>
  <sheetData/>
  <pageMargins left="0.7" right="0.7" top="0.75" bottom="0.75" header="0.3" footer="0.3"/>
  <pageSetup paperSize="9" orientation="portrait" r:id="rId1"/>
  <customProperties>
    <customPr name="SLWorkbookGu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181"/>
  <sheetViews>
    <sheetView topLeftCell="I1" zoomScaleNormal="100" workbookViewId="0">
      <pane ySplit="1" topLeftCell="A36" activePane="bottomLeft" state="frozen"/>
      <selection pane="bottomLeft" activeCell="O37" sqref="O37"/>
    </sheetView>
  </sheetViews>
  <sheetFormatPr defaultColWidth="9.33203125" defaultRowHeight="21" customHeight="1" x14ac:dyDescent="0.3"/>
  <cols>
    <col min="1" max="1" width="21.33203125" style="10" customWidth="1"/>
    <col min="2" max="2" width="5.33203125" style="6" customWidth="1"/>
    <col min="3" max="3" width="13.6640625" style="6" bestFit="1" customWidth="1"/>
    <col min="4" max="4" width="7.44140625" style="4" customWidth="1"/>
    <col min="5" max="5" width="9.33203125" style="5"/>
    <col min="6" max="6" width="38" style="42" customWidth="1"/>
    <col min="7" max="7" width="13.44140625" style="3" customWidth="1"/>
    <col min="8" max="8" width="24.44140625" style="6" customWidth="1"/>
    <col min="9" max="9" width="10.6640625" style="5" customWidth="1"/>
    <col min="10" max="10" width="20" style="5" customWidth="1"/>
    <col min="11" max="11" width="17.6640625" style="6" customWidth="1"/>
    <col min="12" max="12" width="5.33203125" style="4" customWidth="1"/>
    <col min="13" max="13" width="20.5546875" style="6" bestFit="1" customWidth="1"/>
    <col min="14" max="14" width="17.6640625" style="6" customWidth="1"/>
    <col min="15" max="15" width="32.5546875" style="4" customWidth="1"/>
    <col min="16" max="16" width="23.44140625" style="4" customWidth="1"/>
    <col min="17" max="17" width="24.33203125" style="4" customWidth="1"/>
    <col min="18" max="18" width="16.5546875" style="4" customWidth="1"/>
    <col min="19" max="16384" width="9.33203125" style="4"/>
  </cols>
  <sheetData>
    <row r="1" spans="1:17" ht="21" customHeight="1" x14ac:dyDescent="0.3">
      <c r="A1" s="11" t="s">
        <v>22</v>
      </c>
      <c r="B1" s="3"/>
      <c r="C1" s="13" t="s">
        <v>23</v>
      </c>
      <c r="E1" s="14" t="s">
        <v>24</v>
      </c>
      <c r="F1" s="17"/>
      <c r="G1" s="17" t="s">
        <v>25</v>
      </c>
      <c r="H1" s="12" t="s">
        <v>26</v>
      </c>
      <c r="I1" s="37" t="s">
        <v>27</v>
      </c>
      <c r="J1" s="37" t="s">
        <v>28</v>
      </c>
      <c r="K1" s="12" t="s">
        <v>29</v>
      </c>
      <c r="M1" s="12" t="s">
        <v>30</v>
      </c>
      <c r="N1" s="12"/>
      <c r="O1" s="35" t="s">
        <v>31</v>
      </c>
      <c r="Q1" s="36" t="s">
        <v>32</v>
      </c>
    </row>
    <row r="2" spans="1:17" ht="21" customHeight="1" x14ac:dyDescent="0.3">
      <c r="A2" s="9" t="s">
        <v>33</v>
      </c>
      <c r="C2" s="6" t="s">
        <v>33</v>
      </c>
      <c r="E2" s="7" t="s">
        <v>33</v>
      </c>
      <c r="F2" s="41"/>
      <c r="G2" s="13"/>
      <c r="H2" s="13"/>
      <c r="I2" s="38"/>
      <c r="J2" s="38"/>
      <c r="K2" s="8" t="s">
        <v>33</v>
      </c>
      <c r="M2" s="8" t="s">
        <v>33</v>
      </c>
      <c r="N2" s="8"/>
      <c r="O2" t="s">
        <v>34</v>
      </c>
      <c r="Q2" s="4" t="str">
        <f>VLOOKUP(Modulo!B3,Riferimento!M2:O120,2,0)</f>
        <v>Italy</v>
      </c>
    </row>
    <row r="3" spans="1:17" ht="28.8" x14ac:dyDescent="0.3">
      <c r="A3" s="9" t="s">
        <v>35</v>
      </c>
      <c r="C3" s="6" t="s">
        <v>36</v>
      </c>
      <c r="D3" s="15"/>
      <c r="E3" s="28" t="s">
        <v>37</v>
      </c>
      <c r="F3" s="49" t="s">
        <v>38</v>
      </c>
      <c r="G3" s="29" t="s">
        <v>39</v>
      </c>
      <c r="H3" s="49" t="s">
        <v>40</v>
      </c>
      <c r="I3" s="50">
        <v>183</v>
      </c>
      <c r="J3" s="29" t="s">
        <v>41</v>
      </c>
      <c r="K3" s="8" t="s">
        <v>42</v>
      </c>
      <c r="M3" s="8" t="s">
        <v>43</v>
      </c>
      <c r="N3" s="8" t="s">
        <v>44</v>
      </c>
      <c r="O3" t="s">
        <v>34</v>
      </c>
    </row>
    <row r="4" spans="1:17" ht="21" customHeight="1" x14ac:dyDescent="0.3">
      <c r="A4" s="10" t="s">
        <v>45</v>
      </c>
      <c r="C4" s="6" t="s">
        <v>46</v>
      </c>
      <c r="D4" s="15"/>
      <c r="E4" s="28" t="s">
        <v>47</v>
      </c>
      <c r="F4" s="49" t="s">
        <v>48</v>
      </c>
      <c r="G4" s="29" t="s">
        <v>49</v>
      </c>
      <c r="H4" s="49" t="s">
        <v>40</v>
      </c>
      <c r="I4" s="50">
        <v>1825</v>
      </c>
      <c r="J4" s="29" t="s">
        <v>41</v>
      </c>
      <c r="K4" s="8" t="s">
        <v>50</v>
      </c>
      <c r="M4" s="8" t="s">
        <v>51</v>
      </c>
      <c r="N4" s="8" t="s">
        <v>52</v>
      </c>
      <c r="O4" s="45" t="s">
        <v>53</v>
      </c>
    </row>
    <row r="5" spans="1:17" ht="21" customHeight="1" x14ac:dyDescent="0.3">
      <c r="A5" s="9" t="s">
        <v>54</v>
      </c>
      <c r="C5" s="6" t="s">
        <v>41</v>
      </c>
      <c r="D5" s="16"/>
      <c r="E5" s="29" t="s">
        <v>55</v>
      </c>
      <c r="F5" s="49" t="s">
        <v>56</v>
      </c>
      <c r="G5" s="29" t="s">
        <v>57</v>
      </c>
      <c r="H5" s="49" t="s">
        <v>58</v>
      </c>
      <c r="I5" s="29">
        <v>3650</v>
      </c>
      <c r="J5" s="29" t="s">
        <v>46</v>
      </c>
      <c r="K5" s="8" t="s">
        <v>59</v>
      </c>
      <c r="M5" s="6" t="s">
        <v>60</v>
      </c>
      <c r="N5" s="8" t="s">
        <v>61</v>
      </c>
      <c r="O5" t="s">
        <v>62</v>
      </c>
    </row>
    <row r="6" spans="1:17" ht="21" customHeight="1" x14ac:dyDescent="0.3">
      <c r="A6" s="10" t="s">
        <v>63</v>
      </c>
      <c r="C6" s="6" t="s">
        <v>64</v>
      </c>
      <c r="D6" s="16"/>
      <c r="E6" s="29" t="s">
        <v>65</v>
      </c>
      <c r="F6" s="49" t="s">
        <v>66</v>
      </c>
      <c r="G6" s="29" t="s">
        <v>49</v>
      </c>
      <c r="H6" s="49" t="s">
        <v>67</v>
      </c>
      <c r="I6" s="29">
        <v>1825</v>
      </c>
      <c r="J6" s="29" t="s">
        <v>46</v>
      </c>
      <c r="K6" s="8" t="s">
        <v>68</v>
      </c>
      <c r="M6" s="8" t="s">
        <v>69</v>
      </c>
      <c r="N6" s="8" t="s">
        <v>70</v>
      </c>
      <c r="O6" t="s">
        <v>34</v>
      </c>
    </row>
    <row r="7" spans="1:17" ht="21" customHeight="1" x14ac:dyDescent="0.3">
      <c r="A7" s="9" t="s">
        <v>71</v>
      </c>
      <c r="D7" s="16"/>
      <c r="E7" s="29" t="s">
        <v>72</v>
      </c>
      <c r="F7" s="49" t="s">
        <v>73</v>
      </c>
      <c r="G7" s="29" t="s">
        <v>74</v>
      </c>
      <c r="H7" s="49" t="s">
        <v>40</v>
      </c>
      <c r="I7" s="29">
        <v>28</v>
      </c>
      <c r="J7" s="29" t="s">
        <v>41</v>
      </c>
      <c r="K7" s="8" t="s">
        <v>75</v>
      </c>
      <c r="M7" s="8" t="s">
        <v>76</v>
      </c>
      <c r="N7" s="8" t="s">
        <v>77</v>
      </c>
      <c r="O7" t="s">
        <v>34</v>
      </c>
    </row>
    <row r="8" spans="1:17" ht="24" customHeight="1" x14ac:dyDescent="0.3">
      <c r="A8" s="10" t="s">
        <v>78</v>
      </c>
      <c r="D8" s="15"/>
      <c r="E8" s="29" t="s">
        <v>79</v>
      </c>
      <c r="F8" s="49" t="s">
        <v>80</v>
      </c>
      <c r="G8" s="29" t="s">
        <v>49</v>
      </c>
      <c r="H8" s="49" t="s">
        <v>40</v>
      </c>
      <c r="I8" s="29">
        <v>1825</v>
      </c>
      <c r="J8" s="29" t="s">
        <v>41</v>
      </c>
      <c r="K8" s="8" t="s">
        <v>81</v>
      </c>
      <c r="M8" s="8" t="s">
        <v>82</v>
      </c>
      <c r="N8" s="8" t="s">
        <v>50</v>
      </c>
      <c r="O8" t="s">
        <v>34</v>
      </c>
    </row>
    <row r="9" spans="1:17" ht="21" customHeight="1" x14ac:dyDescent="0.3">
      <c r="A9" s="9" t="s">
        <v>83</v>
      </c>
      <c r="D9" s="16"/>
      <c r="E9" s="29" t="s">
        <v>84</v>
      </c>
      <c r="F9" s="49" t="s">
        <v>85</v>
      </c>
      <c r="G9" s="29" t="s">
        <v>49</v>
      </c>
      <c r="H9" s="49" t="s">
        <v>40</v>
      </c>
      <c r="I9" s="29">
        <v>1825</v>
      </c>
      <c r="J9" s="29" t="s">
        <v>46</v>
      </c>
      <c r="K9" s="8" t="s">
        <v>86</v>
      </c>
      <c r="M9" s="8" t="s">
        <v>87</v>
      </c>
      <c r="N9" s="8" t="s">
        <v>88</v>
      </c>
      <c r="O9" t="s">
        <v>89</v>
      </c>
    </row>
    <row r="10" spans="1:17" ht="36" customHeight="1" x14ac:dyDescent="0.3">
      <c r="A10" s="10" t="s">
        <v>90</v>
      </c>
      <c r="D10" s="16"/>
      <c r="E10" s="29" t="s">
        <v>91</v>
      </c>
      <c r="F10" s="49" t="s">
        <v>92</v>
      </c>
      <c r="G10" s="29" t="s">
        <v>93</v>
      </c>
      <c r="H10" s="49" t="s">
        <v>94</v>
      </c>
      <c r="I10" s="29">
        <v>1825</v>
      </c>
      <c r="J10" s="29" t="s">
        <v>41</v>
      </c>
      <c r="K10" s="8" t="s">
        <v>95</v>
      </c>
      <c r="M10" s="8" t="s">
        <v>96</v>
      </c>
      <c r="N10" s="8" t="s">
        <v>44</v>
      </c>
      <c r="O10" t="s">
        <v>34</v>
      </c>
    </row>
    <row r="11" spans="1:17" ht="14.4" x14ac:dyDescent="0.3">
      <c r="D11" s="16"/>
      <c r="E11" s="29" t="s">
        <v>97</v>
      </c>
      <c r="F11" s="49" t="s">
        <v>98</v>
      </c>
      <c r="G11" s="29" t="s">
        <v>93</v>
      </c>
      <c r="H11" s="49" t="s">
        <v>67</v>
      </c>
      <c r="I11" s="29">
        <v>1825</v>
      </c>
      <c r="J11" s="29" t="s">
        <v>46</v>
      </c>
      <c r="K11" s="8" t="s">
        <v>99</v>
      </c>
      <c r="M11" s="8" t="s">
        <v>100</v>
      </c>
      <c r="N11" s="8" t="s">
        <v>75</v>
      </c>
      <c r="O11" s="52" t="s">
        <v>101</v>
      </c>
    </row>
    <row r="12" spans="1:17" ht="21" customHeight="1" x14ac:dyDescent="0.3">
      <c r="D12" s="16"/>
      <c r="E12" s="29" t="s">
        <v>102</v>
      </c>
      <c r="F12" s="49" t="s">
        <v>103</v>
      </c>
      <c r="G12" s="29" t="s">
        <v>49</v>
      </c>
      <c r="H12" s="49" t="s">
        <v>40</v>
      </c>
      <c r="I12" s="29">
        <v>1825</v>
      </c>
      <c r="J12" s="29" t="s">
        <v>41</v>
      </c>
      <c r="K12" s="8" t="s">
        <v>104</v>
      </c>
      <c r="M12" s="8" t="s">
        <v>105</v>
      </c>
      <c r="N12" s="8" t="s">
        <v>106</v>
      </c>
      <c r="O12" s="48" t="s">
        <v>107</v>
      </c>
    </row>
    <row r="13" spans="1:17" ht="37.5" customHeight="1" x14ac:dyDescent="0.3">
      <c r="D13" s="15"/>
      <c r="E13" s="29" t="s">
        <v>108</v>
      </c>
      <c r="F13" s="49" t="s">
        <v>109</v>
      </c>
      <c r="G13" s="29" t="s">
        <v>93</v>
      </c>
      <c r="H13" s="49" t="s">
        <v>110</v>
      </c>
      <c r="I13" s="29">
        <v>1825</v>
      </c>
      <c r="J13" s="29" t="s">
        <v>64</v>
      </c>
      <c r="K13" s="8" t="s">
        <v>111</v>
      </c>
      <c r="M13" s="6" t="s">
        <v>112</v>
      </c>
      <c r="N13" s="8" t="s">
        <v>113</v>
      </c>
      <c r="O13" t="s">
        <v>114</v>
      </c>
    </row>
    <row r="14" spans="1:17" ht="21" customHeight="1" x14ac:dyDescent="0.3">
      <c r="D14" s="15"/>
      <c r="E14" s="29" t="s">
        <v>115</v>
      </c>
      <c r="F14" s="49" t="s">
        <v>116</v>
      </c>
      <c r="G14" s="29" t="s">
        <v>93</v>
      </c>
      <c r="H14" s="51" t="s">
        <v>117</v>
      </c>
      <c r="I14" s="29">
        <v>1825</v>
      </c>
      <c r="J14" s="29" t="s">
        <v>46</v>
      </c>
      <c r="K14" s="8" t="s">
        <v>77</v>
      </c>
      <c r="M14" s="8" t="s">
        <v>118</v>
      </c>
      <c r="N14" s="8" t="s">
        <v>99</v>
      </c>
      <c r="O14" t="s">
        <v>119</v>
      </c>
    </row>
    <row r="15" spans="1:17" ht="40.5" customHeight="1" x14ac:dyDescent="0.3">
      <c r="D15" s="15"/>
      <c r="E15" s="29" t="s">
        <v>120</v>
      </c>
      <c r="F15" s="49" t="s">
        <v>121</v>
      </c>
      <c r="G15" s="29" t="s">
        <v>39</v>
      </c>
      <c r="H15" s="49" t="s">
        <v>40</v>
      </c>
      <c r="I15" s="29">
        <v>183</v>
      </c>
      <c r="J15" s="29" t="s">
        <v>41</v>
      </c>
      <c r="K15" s="8" t="s">
        <v>122</v>
      </c>
      <c r="M15" s="8" t="s">
        <v>123</v>
      </c>
      <c r="N15" s="8" t="s">
        <v>106</v>
      </c>
      <c r="O15" s="48" t="s">
        <v>124</v>
      </c>
    </row>
    <row r="16" spans="1:17" ht="21" customHeight="1" x14ac:dyDescent="0.3">
      <c r="D16" s="15"/>
      <c r="E16" s="29" t="s">
        <v>125</v>
      </c>
      <c r="F16" s="49" t="s">
        <v>126</v>
      </c>
      <c r="G16" s="29" t="s">
        <v>57</v>
      </c>
      <c r="H16" s="49" t="s">
        <v>67</v>
      </c>
      <c r="I16" s="29">
        <v>3650</v>
      </c>
      <c r="J16" s="29" t="s">
        <v>41</v>
      </c>
      <c r="K16" s="8" t="s">
        <v>127</v>
      </c>
      <c r="M16" s="8" t="s">
        <v>128</v>
      </c>
      <c r="N16" s="8" t="s">
        <v>99</v>
      </c>
      <c r="O16" s="47" t="s">
        <v>129</v>
      </c>
    </row>
    <row r="17" spans="4:16" ht="21" customHeight="1" x14ac:dyDescent="0.3">
      <c r="D17" s="15"/>
      <c r="E17" s="29" t="s">
        <v>130</v>
      </c>
      <c r="F17" s="49" t="s">
        <v>131</v>
      </c>
      <c r="G17" s="29" t="s">
        <v>49</v>
      </c>
      <c r="H17" s="49" t="s">
        <v>40</v>
      </c>
      <c r="I17" s="29">
        <v>1825</v>
      </c>
      <c r="J17" s="29" t="s">
        <v>41</v>
      </c>
      <c r="K17" s="8" t="s">
        <v>132</v>
      </c>
      <c r="M17" s="6" t="s">
        <v>133</v>
      </c>
      <c r="N17" s="8" t="s">
        <v>134</v>
      </c>
      <c r="O17" s="45" t="s">
        <v>135</v>
      </c>
    </row>
    <row r="18" spans="4:16" ht="21" customHeight="1" x14ac:dyDescent="0.3">
      <c r="D18" s="15"/>
      <c r="E18" s="29" t="s">
        <v>136</v>
      </c>
      <c r="F18" s="49" t="s">
        <v>137</v>
      </c>
      <c r="G18" s="29" t="s">
        <v>57</v>
      </c>
      <c r="H18" s="49" t="s">
        <v>138</v>
      </c>
      <c r="I18" s="29">
        <v>3650</v>
      </c>
      <c r="J18" s="29" t="s">
        <v>46</v>
      </c>
      <c r="K18" s="8" t="s">
        <v>139</v>
      </c>
      <c r="M18" s="8" t="s">
        <v>140</v>
      </c>
      <c r="N18" s="8" t="s">
        <v>95</v>
      </c>
      <c r="O18" t="s">
        <v>34</v>
      </c>
    </row>
    <row r="19" spans="4:16" ht="21" customHeight="1" x14ac:dyDescent="0.3">
      <c r="D19" s="15"/>
      <c r="E19" s="29" t="s">
        <v>141</v>
      </c>
      <c r="F19" s="49" t="s">
        <v>142</v>
      </c>
      <c r="G19" s="29" t="s">
        <v>93</v>
      </c>
      <c r="H19" s="49" t="s">
        <v>67</v>
      </c>
      <c r="I19" s="29">
        <v>1825</v>
      </c>
      <c r="J19" s="29" t="s">
        <v>46</v>
      </c>
      <c r="K19" s="8" t="s">
        <v>143</v>
      </c>
      <c r="M19" s="6" t="s">
        <v>144</v>
      </c>
      <c r="N19" s="8" t="s">
        <v>145</v>
      </c>
      <c r="O19" t="s">
        <v>34</v>
      </c>
    </row>
    <row r="20" spans="4:16" ht="21" customHeight="1" x14ac:dyDescent="0.3">
      <c r="D20" s="15"/>
      <c r="E20" s="29" t="s">
        <v>146</v>
      </c>
      <c r="F20" s="49" t="s">
        <v>147</v>
      </c>
      <c r="G20" s="29" t="s">
        <v>148</v>
      </c>
      <c r="H20" s="49" t="s">
        <v>149</v>
      </c>
      <c r="I20" s="29">
        <v>365</v>
      </c>
      <c r="J20" s="29" t="s">
        <v>64</v>
      </c>
      <c r="K20" s="8" t="s">
        <v>134</v>
      </c>
      <c r="M20" s="6" t="s">
        <v>150</v>
      </c>
      <c r="N20" s="8" t="s">
        <v>106</v>
      </c>
      <c r="O20" t="s">
        <v>34</v>
      </c>
      <c r="P20" s="30"/>
    </row>
    <row r="21" spans="4:16" ht="21" customHeight="1" x14ac:dyDescent="0.3">
      <c r="D21" s="15"/>
      <c r="E21" s="29" t="s">
        <v>151</v>
      </c>
      <c r="F21" s="49" t="s">
        <v>152</v>
      </c>
      <c r="G21" s="29" t="s">
        <v>153</v>
      </c>
      <c r="H21" s="49" t="s">
        <v>154</v>
      </c>
      <c r="I21" s="29">
        <v>1</v>
      </c>
      <c r="J21" s="29" t="s">
        <v>64</v>
      </c>
      <c r="K21" s="8" t="s">
        <v>155</v>
      </c>
      <c r="M21" s="6" t="s">
        <v>156</v>
      </c>
      <c r="N21" s="8" t="s">
        <v>104</v>
      </c>
      <c r="O21" s="52" t="s">
        <v>157</v>
      </c>
    </row>
    <row r="22" spans="4:16" ht="40.200000000000003" customHeight="1" x14ac:dyDescent="0.3">
      <c r="D22" s="15"/>
      <c r="E22" s="29" t="s">
        <v>158</v>
      </c>
      <c r="F22" s="49" t="s">
        <v>159</v>
      </c>
      <c r="G22" s="29" t="s">
        <v>57</v>
      </c>
      <c r="H22" s="49" t="s">
        <v>160</v>
      </c>
      <c r="I22" s="29">
        <v>3650</v>
      </c>
      <c r="J22" s="29" t="s">
        <v>64</v>
      </c>
      <c r="K22" s="8" t="s">
        <v>70</v>
      </c>
      <c r="M22" s="6" t="s">
        <v>161</v>
      </c>
      <c r="N22" s="8" t="s">
        <v>122</v>
      </c>
      <c r="O22" t="s">
        <v>162</v>
      </c>
    </row>
    <row r="23" spans="4:16" ht="21" customHeight="1" x14ac:dyDescent="0.3">
      <c r="D23" s="15"/>
      <c r="E23" s="29" t="s">
        <v>163</v>
      </c>
      <c r="F23" s="49" t="s">
        <v>164</v>
      </c>
      <c r="G23" s="29" t="s">
        <v>93</v>
      </c>
      <c r="H23" s="49" t="s">
        <v>154</v>
      </c>
      <c r="I23" s="29">
        <v>1825</v>
      </c>
      <c r="J23" s="29" t="s">
        <v>64</v>
      </c>
      <c r="K23" s="6" t="s">
        <v>52</v>
      </c>
      <c r="M23" s="6" t="s">
        <v>165</v>
      </c>
      <c r="N23" s="8" t="s">
        <v>81</v>
      </c>
      <c r="O23" s="48" t="s">
        <v>166</v>
      </c>
    </row>
    <row r="24" spans="4:16" ht="21" customHeight="1" x14ac:dyDescent="0.3">
      <c r="D24" s="15"/>
      <c r="E24" s="29" t="s">
        <v>167</v>
      </c>
      <c r="F24" s="49" t="s">
        <v>168</v>
      </c>
      <c r="G24" s="29" t="s">
        <v>148</v>
      </c>
      <c r="H24" s="49" t="s">
        <v>149</v>
      </c>
      <c r="I24" s="29">
        <v>365</v>
      </c>
      <c r="J24" s="29" t="s">
        <v>41</v>
      </c>
      <c r="K24" s="6" t="s">
        <v>169</v>
      </c>
      <c r="M24" s="6" t="s">
        <v>170</v>
      </c>
      <c r="N24" s="8" t="s">
        <v>86</v>
      </c>
      <c r="O24" t="s">
        <v>171</v>
      </c>
    </row>
    <row r="25" spans="4:16" ht="21" customHeight="1" x14ac:dyDescent="0.3">
      <c r="D25" s="15"/>
      <c r="E25" s="29" t="s">
        <v>172</v>
      </c>
      <c r="F25" s="49" t="s">
        <v>173</v>
      </c>
      <c r="G25" s="29" t="s">
        <v>148</v>
      </c>
      <c r="H25" s="49" t="s">
        <v>149</v>
      </c>
      <c r="I25" s="29">
        <v>365</v>
      </c>
      <c r="J25" s="29" t="s">
        <v>46</v>
      </c>
      <c r="K25" s="6" t="s">
        <v>44</v>
      </c>
      <c r="M25" s="6" t="s">
        <v>174</v>
      </c>
      <c r="N25" s="8" t="s">
        <v>44</v>
      </c>
      <c r="O25" t="s">
        <v>34</v>
      </c>
    </row>
    <row r="26" spans="4:16" ht="21" customHeight="1" x14ac:dyDescent="0.3">
      <c r="D26" s="15"/>
      <c r="E26" s="29" t="s">
        <v>175</v>
      </c>
      <c r="F26" s="49" t="s">
        <v>176</v>
      </c>
      <c r="G26" s="29" t="s">
        <v>148</v>
      </c>
      <c r="H26" s="49" t="s">
        <v>149</v>
      </c>
      <c r="I26" s="29">
        <v>365</v>
      </c>
      <c r="J26" s="29" t="s">
        <v>64</v>
      </c>
      <c r="K26" s="6" t="s">
        <v>88</v>
      </c>
      <c r="M26" s="6" t="s">
        <v>177</v>
      </c>
      <c r="N26" s="8" t="s">
        <v>132</v>
      </c>
      <c r="O26" t="s">
        <v>34</v>
      </c>
    </row>
    <row r="27" spans="4:16" ht="21" customHeight="1" x14ac:dyDescent="0.3">
      <c r="D27" s="15"/>
      <c r="E27" s="48" t="s">
        <v>178</v>
      </c>
      <c r="F27" s="49" t="s">
        <v>179</v>
      </c>
      <c r="G27" s="29" t="s">
        <v>93</v>
      </c>
      <c r="H27" s="49" t="s">
        <v>180</v>
      </c>
      <c r="I27" s="29">
        <v>1825</v>
      </c>
      <c r="J27" s="29" t="s">
        <v>64</v>
      </c>
      <c r="K27" s="6" t="s">
        <v>61</v>
      </c>
      <c r="M27" s="6" t="s">
        <v>181</v>
      </c>
      <c r="N27" s="8" t="s">
        <v>127</v>
      </c>
      <c r="O27" t="s">
        <v>34</v>
      </c>
      <c r="P27"/>
    </row>
    <row r="28" spans="4:16" ht="31.5" customHeight="1" x14ac:dyDescent="0.3">
      <c r="D28" s="15"/>
      <c r="E28" s="48" t="s">
        <v>182</v>
      </c>
      <c r="F28" s="49" t="s">
        <v>183</v>
      </c>
      <c r="G28" s="29" t="s">
        <v>93</v>
      </c>
      <c r="H28" s="49" t="s">
        <v>184</v>
      </c>
      <c r="I28" s="29">
        <v>1825</v>
      </c>
      <c r="J28" s="29" t="s">
        <v>46</v>
      </c>
      <c r="K28" s="6" t="s">
        <v>106</v>
      </c>
      <c r="M28" s="6" t="s">
        <v>185</v>
      </c>
      <c r="N28" s="8" t="s">
        <v>111</v>
      </c>
      <c r="O28" t="s">
        <v>34</v>
      </c>
      <c r="P28" s="30"/>
    </row>
    <row r="29" spans="4:16" ht="21" customHeight="1" x14ac:dyDescent="0.3">
      <c r="D29" s="15"/>
      <c r="E29" s="48" t="s">
        <v>186</v>
      </c>
      <c r="F29" s="49" t="s">
        <v>187</v>
      </c>
      <c r="G29" s="29" t="s">
        <v>57</v>
      </c>
      <c r="H29" s="49" t="s">
        <v>184</v>
      </c>
      <c r="I29" s="29">
        <v>3650</v>
      </c>
      <c r="J29" s="29" t="s">
        <v>46</v>
      </c>
      <c r="K29" s="6" t="s">
        <v>113</v>
      </c>
      <c r="M29" s="6" t="s">
        <v>188</v>
      </c>
      <c r="N29" s="8" t="s">
        <v>81</v>
      </c>
      <c r="O29" t="s">
        <v>189</v>
      </c>
    </row>
    <row r="30" spans="4:16" ht="26.25" customHeight="1" x14ac:dyDescent="0.3">
      <c r="D30" s="15"/>
      <c r="E30" s="48" t="s">
        <v>190</v>
      </c>
      <c r="F30" s="49" t="s">
        <v>191</v>
      </c>
      <c r="G30" s="29" t="s">
        <v>192</v>
      </c>
      <c r="H30" s="49" t="s">
        <v>40</v>
      </c>
      <c r="I30" s="29">
        <v>3650</v>
      </c>
      <c r="J30" s="29" t="s">
        <v>64</v>
      </c>
      <c r="K30" s="6" t="s">
        <v>145</v>
      </c>
      <c r="M30" s="6" t="s">
        <v>193</v>
      </c>
      <c r="N30" s="8" t="s">
        <v>99</v>
      </c>
      <c r="O30" t="s">
        <v>194</v>
      </c>
    </row>
    <row r="31" spans="4:16" ht="21" customHeight="1" x14ac:dyDescent="0.3">
      <c r="D31" s="15"/>
      <c r="E31" s="48" t="s">
        <v>195</v>
      </c>
      <c r="F31" s="49" t="s">
        <v>196</v>
      </c>
      <c r="G31" s="29" t="s">
        <v>148</v>
      </c>
      <c r="H31" s="49" t="s">
        <v>149</v>
      </c>
      <c r="I31" s="29">
        <v>365</v>
      </c>
      <c r="J31" s="29" t="s">
        <v>41</v>
      </c>
      <c r="K31" s="8"/>
      <c r="M31" s="6" t="s">
        <v>197</v>
      </c>
      <c r="N31" s="8" t="s">
        <v>99</v>
      </c>
      <c r="O31" t="s">
        <v>198</v>
      </c>
    </row>
    <row r="32" spans="4:16" ht="21" customHeight="1" x14ac:dyDescent="0.3">
      <c r="D32" s="15"/>
      <c r="E32" s="48" t="s">
        <v>199</v>
      </c>
      <c r="F32" s="49" t="s">
        <v>200</v>
      </c>
      <c r="G32" s="29" t="s">
        <v>57</v>
      </c>
      <c r="H32" s="49" t="s">
        <v>201</v>
      </c>
      <c r="I32" s="29">
        <v>3650</v>
      </c>
      <c r="J32" s="29" t="s">
        <v>41</v>
      </c>
      <c r="K32" s="8"/>
      <c r="M32" s="6" t="s">
        <v>202</v>
      </c>
      <c r="N32" s="8" t="s">
        <v>99</v>
      </c>
      <c r="O32" t="s">
        <v>203</v>
      </c>
      <c r="P32" s="30"/>
    </row>
    <row r="33" spans="4:15" ht="21" customHeight="1" x14ac:dyDescent="0.3">
      <c r="D33" s="15"/>
      <c r="E33" s="29" t="s">
        <v>204</v>
      </c>
      <c r="F33" s="49" t="s">
        <v>205</v>
      </c>
      <c r="G33" s="29" t="s">
        <v>148</v>
      </c>
      <c r="H33" s="49" t="s">
        <v>149</v>
      </c>
      <c r="I33" s="29">
        <v>365</v>
      </c>
      <c r="J33" s="29" t="s">
        <v>46</v>
      </c>
      <c r="K33" s="8"/>
      <c r="M33" s="6" t="s">
        <v>206</v>
      </c>
      <c r="N33" s="8" t="s">
        <v>143</v>
      </c>
      <c r="O33" t="s">
        <v>34</v>
      </c>
    </row>
    <row r="34" spans="4:15" ht="21" customHeight="1" x14ac:dyDescent="0.3">
      <c r="D34" s="15"/>
      <c r="E34" s="29" t="s">
        <v>207</v>
      </c>
      <c r="F34" s="49" t="s">
        <v>208</v>
      </c>
      <c r="G34" s="29" t="s">
        <v>209</v>
      </c>
      <c r="H34" s="49" t="s">
        <v>40</v>
      </c>
      <c r="I34" s="29">
        <v>2555</v>
      </c>
      <c r="J34" s="29" t="s">
        <v>41</v>
      </c>
      <c r="K34" s="8"/>
      <c r="M34" s="6" t="s">
        <v>210</v>
      </c>
      <c r="N34" s="8" t="s">
        <v>86</v>
      </c>
      <c r="O34" t="s">
        <v>211</v>
      </c>
    </row>
    <row r="35" spans="4:15" ht="32.4" customHeight="1" x14ac:dyDescent="0.3">
      <c r="D35" s="16"/>
      <c r="E35" s="29" t="s">
        <v>212</v>
      </c>
      <c r="F35" s="49" t="s">
        <v>213</v>
      </c>
      <c r="G35" s="29" t="s">
        <v>57</v>
      </c>
      <c r="H35" s="49" t="s">
        <v>214</v>
      </c>
      <c r="I35" s="29">
        <v>3650</v>
      </c>
      <c r="J35" s="29" t="s">
        <v>41</v>
      </c>
      <c r="K35" s="8"/>
      <c r="M35" s="6" t="s">
        <v>215</v>
      </c>
      <c r="N35" s="8" t="s">
        <v>42</v>
      </c>
      <c r="O35" s="52" t="s">
        <v>216</v>
      </c>
    </row>
    <row r="36" spans="4:15" ht="21" customHeight="1" x14ac:dyDescent="0.3">
      <c r="D36" s="16"/>
      <c r="E36" s="29" t="s">
        <v>217</v>
      </c>
      <c r="F36" s="49" t="s">
        <v>218</v>
      </c>
      <c r="G36" s="29" t="s">
        <v>57</v>
      </c>
      <c r="H36" s="49" t="s">
        <v>219</v>
      </c>
      <c r="I36" s="29">
        <v>3650</v>
      </c>
      <c r="J36" s="29" t="s">
        <v>41</v>
      </c>
      <c r="K36" s="8"/>
      <c r="M36" s="6" t="s">
        <v>220</v>
      </c>
      <c r="N36" s="8" t="s">
        <v>59</v>
      </c>
      <c r="O36" t="s">
        <v>221</v>
      </c>
    </row>
    <row r="37" spans="4:15" ht="21" customHeight="1" x14ac:dyDescent="0.3">
      <c r="D37" s="16"/>
      <c r="E37" s="29" t="s">
        <v>222</v>
      </c>
      <c r="F37" s="49" t="s">
        <v>223</v>
      </c>
      <c r="G37" s="29" t="s">
        <v>148</v>
      </c>
      <c r="H37" s="49" t="s">
        <v>149</v>
      </c>
      <c r="I37" s="29">
        <v>365</v>
      </c>
      <c r="J37" s="29" t="s">
        <v>41</v>
      </c>
      <c r="K37" s="8"/>
      <c r="M37" s="6" t="s">
        <v>21</v>
      </c>
      <c r="N37" s="8" t="s">
        <v>111</v>
      </c>
      <c r="O37" s="52" t="s">
        <v>555</v>
      </c>
    </row>
    <row r="38" spans="4:15" ht="21" customHeight="1" x14ac:dyDescent="0.3">
      <c r="D38" s="16"/>
      <c r="E38" s="29" t="s">
        <v>224</v>
      </c>
      <c r="F38" s="49" t="s">
        <v>225</v>
      </c>
      <c r="G38" s="29" t="s">
        <v>192</v>
      </c>
      <c r="H38" s="49" t="s">
        <v>226</v>
      </c>
      <c r="I38" s="29">
        <v>3650</v>
      </c>
      <c r="J38" s="29" t="s">
        <v>41</v>
      </c>
      <c r="M38" s="6" t="s">
        <v>227</v>
      </c>
      <c r="N38" s="8" t="s">
        <v>139</v>
      </c>
      <c r="O38" t="s">
        <v>34</v>
      </c>
    </row>
    <row r="39" spans="4:15" ht="21" customHeight="1" x14ac:dyDescent="0.3">
      <c r="D39" s="15"/>
      <c r="E39" s="29" t="s">
        <v>228</v>
      </c>
      <c r="F39" s="49" t="s">
        <v>229</v>
      </c>
      <c r="G39" s="29" t="s">
        <v>57</v>
      </c>
      <c r="H39" s="49" t="s">
        <v>230</v>
      </c>
      <c r="I39" s="29">
        <v>3650</v>
      </c>
      <c r="J39" s="29" t="s">
        <v>41</v>
      </c>
      <c r="M39" s="6" t="s">
        <v>231</v>
      </c>
      <c r="N39" s="8" t="s">
        <v>86</v>
      </c>
      <c r="O39" t="s">
        <v>34</v>
      </c>
    </row>
    <row r="40" spans="4:15" ht="21" customHeight="1" x14ac:dyDescent="0.3">
      <c r="D40" s="15"/>
      <c r="E40" s="29" t="s">
        <v>232</v>
      </c>
      <c r="F40" s="49" t="s">
        <v>233</v>
      </c>
      <c r="G40" s="29" t="s">
        <v>148</v>
      </c>
      <c r="H40" s="49" t="s">
        <v>149</v>
      </c>
      <c r="I40" s="29">
        <v>365</v>
      </c>
      <c r="J40" s="29" t="s">
        <v>41</v>
      </c>
      <c r="M40" s="6" t="s">
        <v>234</v>
      </c>
      <c r="N40" s="8" t="s">
        <v>86</v>
      </c>
      <c r="O40" t="s">
        <v>34</v>
      </c>
    </row>
    <row r="41" spans="4:15" ht="21" customHeight="1" x14ac:dyDescent="0.3">
      <c r="D41" s="15"/>
      <c r="E41" s="29" t="s">
        <v>235</v>
      </c>
      <c r="F41" s="49" t="s">
        <v>236</v>
      </c>
      <c r="G41" s="29" t="s">
        <v>192</v>
      </c>
      <c r="H41" s="49" t="s">
        <v>40</v>
      </c>
      <c r="I41" s="29">
        <v>3650</v>
      </c>
      <c r="J41" s="29" t="s">
        <v>64</v>
      </c>
      <c r="M41" s="6" t="s">
        <v>237</v>
      </c>
      <c r="N41" s="8" t="s">
        <v>68</v>
      </c>
      <c r="O41" t="s">
        <v>34</v>
      </c>
    </row>
    <row r="42" spans="4:15" ht="21" customHeight="1" x14ac:dyDescent="0.3">
      <c r="D42" s="15"/>
      <c r="E42" s="29" t="s">
        <v>238</v>
      </c>
      <c r="F42" s="49" t="s">
        <v>239</v>
      </c>
      <c r="G42" s="29" t="s">
        <v>57</v>
      </c>
      <c r="H42" s="49" t="s">
        <v>214</v>
      </c>
      <c r="I42" s="29">
        <v>3650</v>
      </c>
      <c r="J42" s="29" t="s">
        <v>41</v>
      </c>
      <c r="M42" s="6" t="s">
        <v>240</v>
      </c>
      <c r="N42" s="8" t="s">
        <v>241</v>
      </c>
      <c r="O42" t="s">
        <v>242</v>
      </c>
    </row>
    <row r="43" spans="4:15" ht="21" customHeight="1" x14ac:dyDescent="0.3">
      <c r="D43" s="15"/>
      <c r="E43" s="29" t="s">
        <v>243</v>
      </c>
      <c r="F43" s="49" t="s">
        <v>244</v>
      </c>
      <c r="G43" s="29" t="s">
        <v>57</v>
      </c>
      <c r="H43" s="49" t="s">
        <v>245</v>
      </c>
      <c r="I43" s="29">
        <v>3650</v>
      </c>
      <c r="J43" s="29" t="s">
        <v>41</v>
      </c>
      <c r="M43" s="6" t="s">
        <v>246</v>
      </c>
      <c r="N43" s="8" t="s">
        <v>155</v>
      </c>
      <c r="O43" s="45" t="s">
        <v>247</v>
      </c>
    </row>
    <row r="44" spans="4:15" ht="21" customHeight="1" x14ac:dyDescent="0.3">
      <c r="D44" s="15"/>
      <c r="E44" s="29" t="s">
        <v>248</v>
      </c>
      <c r="F44" s="49" t="s">
        <v>249</v>
      </c>
      <c r="G44" s="29" t="s">
        <v>57</v>
      </c>
      <c r="H44" s="49" t="s">
        <v>214</v>
      </c>
      <c r="I44" s="29">
        <v>3650</v>
      </c>
      <c r="J44" s="29" t="s">
        <v>41</v>
      </c>
      <c r="M44" s="6" t="s">
        <v>250</v>
      </c>
      <c r="N44" s="8" t="s">
        <v>44</v>
      </c>
      <c r="O44" t="s">
        <v>34</v>
      </c>
    </row>
    <row r="45" spans="4:15" ht="21" customHeight="1" x14ac:dyDescent="0.3">
      <c r="D45" s="15"/>
      <c r="E45" s="29" t="s">
        <v>251</v>
      </c>
      <c r="F45" s="49" t="s">
        <v>252</v>
      </c>
      <c r="G45" s="29" t="s">
        <v>209</v>
      </c>
      <c r="H45" s="49" t="s">
        <v>40</v>
      </c>
      <c r="I45" s="29">
        <v>2555</v>
      </c>
      <c r="J45" s="29" t="s">
        <v>41</v>
      </c>
      <c r="M45" s="6" t="s">
        <v>253</v>
      </c>
      <c r="N45" s="8" t="s">
        <v>139</v>
      </c>
      <c r="O45" s="52" t="s">
        <v>254</v>
      </c>
    </row>
    <row r="46" spans="4:15" ht="21" customHeight="1" x14ac:dyDescent="0.3">
      <c r="D46" s="15"/>
      <c r="E46" s="29" t="s">
        <v>255</v>
      </c>
      <c r="F46" s="49" t="s">
        <v>256</v>
      </c>
      <c r="G46" s="29" t="s">
        <v>148</v>
      </c>
      <c r="H46" s="49" t="s">
        <v>149</v>
      </c>
      <c r="I46" s="29">
        <v>365</v>
      </c>
      <c r="J46" s="29" t="s">
        <v>41</v>
      </c>
      <c r="O46"/>
    </row>
    <row r="47" spans="4:15" ht="21" customHeight="1" x14ac:dyDescent="0.3">
      <c r="D47" s="15"/>
      <c r="E47" s="29" t="s">
        <v>257</v>
      </c>
      <c r="F47" s="49" t="s">
        <v>258</v>
      </c>
      <c r="G47" s="29" t="s">
        <v>209</v>
      </c>
      <c r="H47" s="49" t="s">
        <v>40</v>
      </c>
      <c r="I47" s="29">
        <v>2555</v>
      </c>
      <c r="J47" s="29" t="s">
        <v>41</v>
      </c>
      <c r="O47"/>
    </row>
    <row r="48" spans="4:15" ht="21" customHeight="1" x14ac:dyDescent="0.3">
      <c r="D48" s="15"/>
      <c r="E48" s="29" t="s">
        <v>259</v>
      </c>
      <c r="F48" s="49" t="s">
        <v>260</v>
      </c>
      <c r="G48" s="29" t="s">
        <v>192</v>
      </c>
      <c r="H48" s="49" t="s">
        <v>40</v>
      </c>
      <c r="I48" s="29">
        <v>3650</v>
      </c>
      <c r="J48" s="29" t="s">
        <v>41</v>
      </c>
      <c r="O48"/>
    </row>
    <row r="49" spans="4:15" ht="21" customHeight="1" x14ac:dyDescent="0.3">
      <c r="D49" s="15"/>
      <c r="E49" s="29" t="s">
        <v>261</v>
      </c>
      <c r="F49" s="49" t="s">
        <v>262</v>
      </c>
      <c r="G49" s="29" t="s">
        <v>49</v>
      </c>
      <c r="H49" s="49" t="s">
        <v>40</v>
      </c>
      <c r="I49" s="29">
        <v>1825</v>
      </c>
      <c r="J49" s="29" t="s">
        <v>41</v>
      </c>
      <c r="O49"/>
    </row>
    <row r="50" spans="4:15" ht="21" customHeight="1" x14ac:dyDescent="0.3">
      <c r="D50" s="15"/>
      <c r="E50" s="29" t="s">
        <v>263</v>
      </c>
      <c r="F50" s="49" t="s">
        <v>264</v>
      </c>
      <c r="G50" s="29" t="s">
        <v>148</v>
      </c>
      <c r="H50" s="49" t="s">
        <v>149</v>
      </c>
      <c r="I50" s="29">
        <v>365</v>
      </c>
      <c r="J50" s="29" t="s">
        <v>41</v>
      </c>
      <c r="O50"/>
    </row>
    <row r="51" spans="4:15" ht="21" customHeight="1" x14ac:dyDescent="0.3">
      <c r="D51" s="15"/>
      <c r="E51" s="29" t="s">
        <v>265</v>
      </c>
      <c r="F51" s="49" t="s">
        <v>266</v>
      </c>
      <c r="G51" s="29" t="s">
        <v>267</v>
      </c>
      <c r="H51" s="49" t="s">
        <v>268</v>
      </c>
      <c r="I51" s="29">
        <v>2190</v>
      </c>
      <c r="J51" s="29" t="s">
        <v>41</v>
      </c>
      <c r="O51"/>
    </row>
    <row r="52" spans="4:15" ht="21" customHeight="1" x14ac:dyDescent="0.3">
      <c r="D52" s="15"/>
      <c r="E52" s="29" t="s">
        <v>269</v>
      </c>
      <c r="F52" s="49" t="s">
        <v>270</v>
      </c>
      <c r="G52" s="29" t="s">
        <v>49</v>
      </c>
      <c r="H52" s="49" t="s">
        <v>40</v>
      </c>
      <c r="I52" s="29">
        <v>1825</v>
      </c>
      <c r="J52" s="29" t="s">
        <v>41</v>
      </c>
      <c r="O52"/>
    </row>
    <row r="53" spans="4:15" ht="38.700000000000003" customHeight="1" x14ac:dyDescent="0.3">
      <c r="D53" s="15"/>
      <c r="E53" s="29" t="s">
        <v>271</v>
      </c>
      <c r="F53" s="49" t="s">
        <v>272</v>
      </c>
      <c r="G53" s="29" t="s">
        <v>273</v>
      </c>
      <c r="H53" s="49" t="s">
        <v>40</v>
      </c>
      <c r="I53" s="29">
        <v>5475</v>
      </c>
      <c r="J53" s="29" t="s">
        <v>41</v>
      </c>
      <c r="O53"/>
    </row>
    <row r="54" spans="4:15" ht="21" customHeight="1" x14ac:dyDescent="0.3">
      <c r="D54" s="15"/>
      <c r="E54" s="29" t="s">
        <v>274</v>
      </c>
      <c r="F54" s="49" t="s">
        <v>275</v>
      </c>
      <c r="G54" s="29" t="s">
        <v>49</v>
      </c>
      <c r="H54" s="49" t="s">
        <v>40</v>
      </c>
      <c r="I54" s="29">
        <v>1825</v>
      </c>
      <c r="J54" s="29" t="s">
        <v>46</v>
      </c>
      <c r="O54"/>
    </row>
    <row r="55" spans="4:15" ht="21" customHeight="1" x14ac:dyDescent="0.3">
      <c r="D55" s="15"/>
      <c r="E55" s="29" t="s">
        <v>276</v>
      </c>
      <c r="F55" s="49" t="s">
        <v>277</v>
      </c>
      <c r="G55" s="29" t="s">
        <v>209</v>
      </c>
      <c r="H55" s="49" t="s">
        <v>40</v>
      </c>
      <c r="I55" s="29">
        <v>2555</v>
      </c>
      <c r="J55" s="29" t="s">
        <v>46</v>
      </c>
      <c r="O55" s="30"/>
    </row>
    <row r="56" spans="4:15" ht="21" customHeight="1" x14ac:dyDescent="0.3">
      <c r="D56" s="15"/>
      <c r="E56" s="29" t="s">
        <v>278</v>
      </c>
      <c r="F56" s="49" t="s">
        <v>279</v>
      </c>
      <c r="G56" s="29" t="s">
        <v>280</v>
      </c>
      <c r="H56" s="49" t="s">
        <v>281</v>
      </c>
      <c r="I56" s="29">
        <v>2190</v>
      </c>
      <c r="J56" s="29" t="s">
        <v>41</v>
      </c>
      <c r="O56"/>
    </row>
    <row r="57" spans="4:15" ht="21" customHeight="1" x14ac:dyDescent="0.3">
      <c r="D57" s="15"/>
      <c r="E57" s="29" t="s">
        <v>282</v>
      </c>
      <c r="F57" s="49" t="s">
        <v>283</v>
      </c>
      <c r="G57" s="29" t="s">
        <v>148</v>
      </c>
      <c r="H57" s="49" t="s">
        <v>149</v>
      </c>
      <c r="I57" s="29">
        <v>365</v>
      </c>
      <c r="J57" s="29" t="s">
        <v>41</v>
      </c>
      <c r="O57"/>
    </row>
    <row r="58" spans="4:15" ht="21" customHeight="1" x14ac:dyDescent="0.3">
      <c r="D58" s="15"/>
      <c r="E58" s="29" t="s">
        <v>284</v>
      </c>
      <c r="F58" s="49" t="s">
        <v>285</v>
      </c>
      <c r="G58" s="29" t="s">
        <v>57</v>
      </c>
      <c r="H58" s="49" t="s">
        <v>286</v>
      </c>
      <c r="I58" s="29">
        <v>3650</v>
      </c>
      <c r="J58" s="29" t="s">
        <v>41</v>
      </c>
      <c r="O58"/>
    </row>
    <row r="59" spans="4:15" ht="21" customHeight="1" x14ac:dyDescent="0.3">
      <c r="D59" s="15"/>
      <c r="E59" s="29" t="s">
        <v>287</v>
      </c>
      <c r="F59" s="49" t="s">
        <v>288</v>
      </c>
      <c r="G59" s="29" t="s">
        <v>192</v>
      </c>
      <c r="H59" s="49" t="s">
        <v>40</v>
      </c>
      <c r="I59" s="29">
        <v>3650</v>
      </c>
      <c r="J59" s="29" t="s">
        <v>46</v>
      </c>
      <c r="O59"/>
    </row>
    <row r="60" spans="4:15" ht="21" customHeight="1" x14ac:dyDescent="0.3">
      <c r="D60" s="16"/>
      <c r="E60" s="29" t="s">
        <v>289</v>
      </c>
      <c r="F60" s="49" t="s">
        <v>290</v>
      </c>
      <c r="G60" s="29" t="s">
        <v>49</v>
      </c>
      <c r="H60" s="49" t="s">
        <v>40</v>
      </c>
      <c r="I60" s="29">
        <v>1825</v>
      </c>
      <c r="J60" s="29" t="s">
        <v>41</v>
      </c>
      <c r="O60" s="30"/>
    </row>
    <row r="61" spans="4:15" ht="21" customHeight="1" x14ac:dyDescent="0.3">
      <c r="D61" s="15"/>
      <c r="E61" s="29" t="s">
        <v>291</v>
      </c>
      <c r="F61" s="49" t="s">
        <v>292</v>
      </c>
      <c r="G61" s="29" t="s">
        <v>93</v>
      </c>
      <c r="H61" s="49" t="s">
        <v>67</v>
      </c>
      <c r="I61" s="29">
        <v>1825</v>
      </c>
      <c r="J61" s="29" t="s">
        <v>41</v>
      </c>
      <c r="O61"/>
    </row>
    <row r="62" spans="4:15" ht="21" customHeight="1" x14ac:dyDescent="0.3">
      <c r="D62" s="15"/>
      <c r="E62" s="29" t="s">
        <v>293</v>
      </c>
      <c r="F62" s="49" t="s">
        <v>294</v>
      </c>
      <c r="G62" s="29" t="s">
        <v>280</v>
      </c>
      <c r="H62" s="49" t="s">
        <v>67</v>
      </c>
      <c r="I62" s="29">
        <v>2190</v>
      </c>
      <c r="J62" s="29" t="s">
        <v>41</v>
      </c>
      <c r="O62"/>
    </row>
    <row r="63" spans="4:15" ht="32.1" customHeight="1" x14ac:dyDescent="0.3">
      <c r="D63" s="15"/>
      <c r="E63" s="29" t="s">
        <v>295</v>
      </c>
      <c r="F63" s="49" t="s">
        <v>296</v>
      </c>
      <c r="G63" s="29" t="s">
        <v>49</v>
      </c>
      <c r="H63" s="49" t="s">
        <v>40</v>
      </c>
      <c r="I63" s="29">
        <v>1825</v>
      </c>
      <c r="J63" s="29" t="s">
        <v>64</v>
      </c>
      <c r="O63"/>
    </row>
    <row r="64" spans="4:15" ht="21" customHeight="1" x14ac:dyDescent="0.3">
      <c r="D64" s="16"/>
      <c r="E64" s="29" t="s">
        <v>297</v>
      </c>
      <c r="F64" s="49" t="s">
        <v>298</v>
      </c>
      <c r="G64" s="29" t="s">
        <v>57</v>
      </c>
      <c r="H64" s="49" t="s">
        <v>214</v>
      </c>
      <c r="I64" s="29">
        <v>3650</v>
      </c>
      <c r="J64" s="29" t="s">
        <v>41</v>
      </c>
      <c r="O64"/>
    </row>
    <row r="65" spans="4:15" ht="21" customHeight="1" x14ac:dyDescent="0.3">
      <c r="D65" s="16"/>
      <c r="E65" s="29" t="s">
        <v>299</v>
      </c>
      <c r="F65" s="49" t="s">
        <v>300</v>
      </c>
      <c r="G65" s="29" t="s">
        <v>192</v>
      </c>
      <c r="H65" s="49" t="s">
        <v>40</v>
      </c>
      <c r="I65" s="29">
        <v>3650</v>
      </c>
      <c r="J65" s="29" t="s">
        <v>41</v>
      </c>
      <c r="O65"/>
    </row>
    <row r="66" spans="4:15" ht="21" customHeight="1" x14ac:dyDescent="0.3">
      <c r="D66" s="16"/>
      <c r="E66" s="29" t="s">
        <v>301</v>
      </c>
      <c r="F66" s="49" t="s">
        <v>302</v>
      </c>
      <c r="G66" s="29" t="s">
        <v>148</v>
      </c>
      <c r="H66" s="49" t="s">
        <v>149</v>
      </c>
      <c r="I66" s="29">
        <v>365</v>
      </c>
      <c r="J66" s="29" t="s">
        <v>41</v>
      </c>
      <c r="O66"/>
    </row>
    <row r="67" spans="4:15" ht="21" customHeight="1" x14ac:dyDescent="0.3">
      <c r="D67" s="15"/>
      <c r="E67" s="29" t="s">
        <v>303</v>
      </c>
      <c r="F67" s="49" t="s">
        <v>304</v>
      </c>
      <c r="G67" s="29" t="s">
        <v>148</v>
      </c>
      <c r="H67" s="49" t="s">
        <v>305</v>
      </c>
      <c r="I67" s="29">
        <v>365</v>
      </c>
      <c r="J67" s="29" t="s">
        <v>41</v>
      </c>
      <c r="O67"/>
    </row>
    <row r="68" spans="4:15" ht="21" customHeight="1" x14ac:dyDescent="0.3">
      <c r="D68" s="15"/>
      <c r="E68" s="29" t="s">
        <v>306</v>
      </c>
      <c r="F68" s="49" t="s">
        <v>307</v>
      </c>
      <c r="G68" s="29" t="s">
        <v>209</v>
      </c>
      <c r="H68" s="49" t="s">
        <v>40</v>
      </c>
      <c r="I68" s="29">
        <v>2555</v>
      </c>
      <c r="J68" s="29" t="s">
        <v>41</v>
      </c>
      <c r="O68"/>
    </row>
    <row r="69" spans="4:15" ht="35.1" customHeight="1" x14ac:dyDescent="0.3">
      <c r="D69" s="15"/>
      <c r="E69" s="29" t="s">
        <v>308</v>
      </c>
      <c r="F69" s="49" t="s">
        <v>309</v>
      </c>
      <c r="G69" s="29" t="s">
        <v>93</v>
      </c>
      <c r="H69" s="49" t="s">
        <v>286</v>
      </c>
      <c r="I69" s="29">
        <v>1825</v>
      </c>
      <c r="J69" s="29" t="s">
        <v>41</v>
      </c>
      <c r="O69"/>
    </row>
    <row r="70" spans="4:15" ht="34.200000000000003" customHeight="1" x14ac:dyDescent="0.3">
      <c r="D70" s="15"/>
      <c r="E70" s="29" t="s">
        <v>310</v>
      </c>
      <c r="F70" s="49" t="s">
        <v>311</v>
      </c>
      <c r="G70" s="29" t="s">
        <v>192</v>
      </c>
      <c r="H70" s="49" t="s">
        <v>40</v>
      </c>
      <c r="I70" s="29">
        <v>3650</v>
      </c>
      <c r="J70" s="29" t="s">
        <v>41</v>
      </c>
      <c r="O70"/>
    </row>
    <row r="71" spans="4:15" ht="21" customHeight="1" x14ac:dyDescent="0.3">
      <c r="D71" s="15"/>
      <c r="E71" s="29" t="s">
        <v>312</v>
      </c>
      <c r="F71" s="49" t="s">
        <v>313</v>
      </c>
      <c r="G71" s="29" t="s">
        <v>57</v>
      </c>
      <c r="H71" s="49" t="s">
        <v>67</v>
      </c>
      <c r="I71" s="29">
        <v>3650</v>
      </c>
      <c r="J71" s="29" t="s">
        <v>41</v>
      </c>
      <c r="O71"/>
    </row>
    <row r="72" spans="4:15" ht="21" customHeight="1" x14ac:dyDescent="0.3">
      <c r="D72" s="15"/>
      <c r="E72" s="29" t="s">
        <v>314</v>
      </c>
      <c r="F72" s="49" t="s">
        <v>315</v>
      </c>
      <c r="G72" s="29" t="s">
        <v>192</v>
      </c>
      <c r="H72" s="49" t="s">
        <v>40</v>
      </c>
      <c r="I72" s="29">
        <v>3650</v>
      </c>
      <c r="J72" s="29" t="s">
        <v>41</v>
      </c>
      <c r="O72"/>
    </row>
    <row r="73" spans="4:15" ht="21" customHeight="1" x14ac:dyDescent="0.3">
      <c r="D73" s="15"/>
      <c r="E73" s="29" t="s">
        <v>316</v>
      </c>
      <c r="F73" s="49" t="s">
        <v>317</v>
      </c>
      <c r="G73" s="29" t="s">
        <v>192</v>
      </c>
      <c r="H73" s="49" t="s">
        <v>40</v>
      </c>
      <c r="I73" s="29">
        <v>3650</v>
      </c>
      <c r="J73" s="29" t="s">
        <v>46</v>
      </c>
      <c r="O73"/>
    </row>
    <row r="74" spans="4:15" ht="21" customHeight="1" x14ac:dyDescent="0.3">
      <c r="D74" s="15"/>
      <c r="E74" s="29" t="s">
        <v>318</v>
      </c>
      <c r="F74" s="49" t="s">
        <v>319</v>
      </c>
      <c r="G74" s="29" t="s">
        <v>320</v>
      </c>
      <c r="H74" s="49" t="s">
        <v>40</v>
      </c>
      <c r="I74" s="29">
        <v>2555</v>
      </c>
      <c r="J74" s="29" t="s">
        <v>46</v>
      </c>
      <c r="O74"/>
    </row>
    <row r="75" spans="4:15" ht="21" customHeight="1" x14ac:dyDescent="0.3">
      <c r="D75" s="15"/>
      <c r="E75" s="29" t="s">
        <v>321</v>
      </c>
      <c r="F75" s="49" t="s">
        <v>322</v>
      </c>
      <c r="G75" s="29" t="s">
        <v>57</v>
      </c>
      <c r="H75" s="49" t="s">
        <v>184</v>
      </c>
      <c r="I75" s="29">
        <v>3650</v>
      </c>
      <c r="J75" s="29" t="s">
        <v>46</v>
      </c>
      <c r="O75"/>
    </row>
    <row r="76" spans="4:15" ht="21" customHeight="1" x14ac:dyDescent="0.3">
      <c r="D76" s="15"/>
      <c r="E76" s="29" t="s">
        <v>323</v>
      </c>
      <c r="F76" s="49" t="s">
        <v>324</v>
      </c>
      <c r="G76" s="29" t="s">
        <v>148</v>
      </c>
      <c r="H76" s="49" t="s">
        <v>149</v>
      </c>
      <c r="I76" s="29">
        <v>365</v>
      </c>
      <c r="J76" s="29" t="s">
        <v>46</v>
      </c>
      <c r="O76"/>
    </row>
    <row r="77" spans="4:15" ht="21" customHeight="1" x14ac:dyDescent="0.3">
      <c r="D77" s="15"/>
      <c r="E77" s="29" t="s">
        <v>325</v>
      </c>
      <c r="F77" s="49" t="s">
        <v>326</v>
      </c>
      <c r="G77" s="29" t="s">
        <v>192</v>
      </c>
      <c r="H77" s="49" t="s">
        <v>40</v>
      </c>
      <c r="I77" s="29">
        <v>3650</v>
      </c>
      <c r="J77" s="29" t="s">
        <v>41</v>
      </c>
      <c r="O77"/>
    </row>
    <row r="78" spans="4:15" ht="32.25" customHeight="1" x14ac:dyDescent="0.3">
      <c r="D78" s="15"/>
      <c r="E78" s="29" t="s">
        <v>327</v>
      </c>
      <c r="F78" s="49" t="s">
        <v>328</v>
      </c>
      <c r="G78" s="29" t="s">
        <v>148</v>
      </c>
      <c r="H78" s="49" t="s">
        <v>149</v>
      </c>
      <c r="I78" s="29">
        <v>365</v>
      </c>
      <c r="J78" s="29" t="s">
        <v>41</v>
      </c>
      <c r="O78"/>
    </row>
    <row r="79" spans="4:15" ht="33.75" customHeight="1" x14ac:dyDescent="0.3">
      <c r="D79" s="15"/>
      <c r="E79" s="29" t="s">
        <v>329</v>
      </c>
      <c r="F79" s="49" t="s">
        <v>330</v>
      </c>
      <c r="G79" s="29" t="s">
        <v>148</v>
      </c>
      <c r="H79" s="49" t="s">
        <v>149</v>
      </c>
      <c r="I79" s="29">
        <v>365</v>
      </c>
      <c r="J79" s="29" t="s">
        <v>41</v>
      </c>
      <c r="O79"/>
    </row>
    <row r="80" spans="4:15" ht="21" customHeight="1" x14ac:dyDescent="0.3">
      <c r="D80" s="15"/>
      <c r="E80" s="29" t="s">
        <v>331</v>
      </c>
      <c r="F80" s="49" t="s">
        <v>332</v>
      </c>
      <c r="G80" s="29" t="s">
        <v>333</v>
      </c>
      <c r="H80" s="49" t="s">
        <v>40</v>
      </c>
      <c r="I80" s="29">
        <v>18250</v>
      </c>
      <c r="J80" s="29" t="s">
        <v>41</v>
      </c>
      <c r="O80"/>
    </row>
    <row r="81" spans="4:16" ht="21" customHeight="1" x14ac:dyDescent="0.3">
      <c r="D81" s="15"/>
      <c r="E81" s="29" t="s">
        <v>334</v>
      </c>
      <c r="F81" s="49" t="s">
        <v>335</v>
      </c>
      <c r="G81" s="29" t="s">
        <v>192</v>
      </c>
      <c r="H81" s="49" t="s">
        <v>40</v>
      </c>
      <c r="I81" s="29">
        <v>3650</v>
      </c>
      <c r="J81" s="29" t="s">
        <v>41</v>
      </c>
      <c r="O81" s="30"/>
    </row>
    <row r="82" spans="4:16" ht="49.5" customHeight="1" x14ac:dyDescent="0.3">
      <c r="D82" s="15"/>
      <c r="E82" s="29" t="s">
        <v>336</v>
      </c>
      <c r="F82" s="49" t="s">
        <v>337</v>
      </c>
      <c r="G82" s="29" t="s">
        <v>93</v>
      </c>
      <c r="H82" s="49" t="s">
        <v>338</v>
      </c>
      <c r="I82" s="29">
        <v>1825</v>
      </c>
      <c r="J82" s="29" t="s">
        <v>41</v>
      </c>
      <c r="O82"/>
    </row>
    <row r="83" spans="4:16" ht="21" customHeight="1" x14ac:dyDescent="0.3">
      <c r="D83" s="15"/>
      <c r="E83" s="29" t="s">
        <v>339</v>
      </c>
      <c r="F83" s="49" t="s">
        <v>340</v>
      </c>
      <c r="G83" s="29" t="s">
        <v>148</v>
      </c>
      <c r="H83" s="49" t="s">
        <v>149</v>
      </c>
      <c r="I83" s="29">
        <v>365</v>
      </c>
      <c r="J83" s="29" t="s">
        <v>41</v>
      </c>
      <c r="O83"/>
    </row>
    <row r="84" spans="4:16" ht="27" customHeight="1" x14ac:dyDescent="0.3">
      <c r="D84" s="15"/>
      <c r="E84" s="29" t="s">
        <v>341</v>
      </c>
      <c r="F84" s="49" t="s">
        <v>342</v>
      </c>
      <c r="G84" s="29" t="s">
        <v>280</v>
      </c>
      <c r="H84" s="49" t="s">
        <v>338</v>
      </c>
      <c r="I84" s="29">
        <v>2190</v>
      </c>
      <c r="J84" s="29" t="s">
        <v>64</v>
      </c>
      <c r="O84"/>
    </row>
    <row r="85" spans="4:16" ht="21" customHeight="1" x14ac:dyDescent="0.3">
      <c r="D85" s="15"/>
      <c r="E85" s="29" t="s">
        <v>343</v>
      </c>
      <c r="F85" s="49" t="s">
        <v>344</v>
      </c>
      <c r="G85" s="29" t="s">
        <v>345</v>
      </c>
      <c r="H85" s="49" t="s">
        <v>338</v>
      </c>
      <c r="I85" s="29">
        <v>10950</v>
      </c>
      <c r="J85" s="29" t="s">
        <v>64</v>
      </c>
      <c r="O85"/>
    </row>
    <row r="86" spans="4:16" ht="21" customHeight="1" x14ac:dyDescent="0.3">
      <c r="D86" s="15"/>
      <c r="E86" s="29" t="s">
        <v>346</v>
      </c>
      <c r="F86" s="49" t="s">
        <v>347</v>
      </c>
      <c r="G86" s="29" t="s">
        <v>348</v>
      </c>
      <c r="H86" s="49" t="s">
        <v>40</v>
      </c>
      <c r="I86" s="29">
        <v>16425</v>
      </c>
      <c r="J86" s="29" t="s">
        <v>64</v>
      </c>
      <c r="O86"/>
    </row>
    <row r="87" spans="4:16" ht="21" customHeight="1" x14ac:dyDescent="0.3">
      <c r="D87" s="15"/>
      <c r="E87" s="29" t="s">
        <v>349</v>
      </c>
      <c r="F87" s="49" t="s">
        <v>350</v>
      </c>
      <c r="G87" s="29" t="s">
        <v>192</v>
      </c>
      <c r="H87" s="49" t="s">
        <v>40</v>
      </c>
      <c r="I87" s="29">
        <v>3650</v>
      </c>
      <c r="J87" s="29" t="s">
        <v>64</v>
      </c>
      <c r="O87"/>
    </row>
    <row r="88" spans="4:16" ht="21" customHeight="1" x14ac:dyDescent="0.3">
      <c r="D88" s="15"/>
      <c r="E88" s="29" t="s">
        <v>351</v>
      </c>
      <c r="F88" s="49" t="s">
        <v>352</v>
      </c>
      <c r="G88" s="29" t="s">
        <v>353</v>
      </c>
      <c r="H88" s="49" t="s">
        <v>40</v>
      </c>
      <c r="I88" s="29">
        <v>10950</v>
      </c>
      <c r="J88" s="29" t="s">
        <v>64</v>
      </c>
      <c r="O88"/>
    </row>
    <row r="89" spans="4:16" ht="21" customHeight="1" x14ac:dyDescent="0.3">
      <c r="D89" s="15"/>
      <c r="E89" s="29" t="s">
        <v>354</v>
      </c>
      <c r="F89" s="49" t="s">
        <v>355</v>
      </c>
      <c r="G89" s="29" t="s">
        <v>356</v>
      </c>
      <c r="H89" s="49" t="s">
        <v>40</v>
      </c>
      <c r="I89" s="29">
        <v>27375</v>
      </c>
      <c r="J89" s="29" t="s">
        <v>64</v>
      </c>
      <c r="O89"/>
    </row>
    <row r="90" spans="4:16" ht="21" customHeight="1" x14ac:dyDescent="0.3">
      <c r="D90" s="15"/>
      <c r="E90" s="29" t="s">
        <v>357</v>
      </c>
      <c r="F90" s="49" t="s">
        <v>358</v>
      </c>
      <c r="G90" s="29" t="s">
        <v>93</v>
      </c>
      <c r="H90" s="49" t="s">
        <v>338</v>
      </c>
      <c r="I90" s="29">
        <v>1825</v>
      </c>
      <c r="J90" s="29" t="s">
        <v>64</v>
      </c>
      <c r="O90"/>
    </row>
    <row r="91" spans="4:16" ht="21" customHeight="1" x14ac:dyDescent="0.3">
      <c r="D91" s="15"/>
      <c r="E91" s="29" t="s">
        <v>359</v>
      </c>
      <c r="F91" s="49" t="s">
        <v>360</v>
      </c>
      <c r="G91" s="29" t="s">
        <v>361</v>
      </c>
      <c r="H91" s="49" t="s">
        <v>362</v>
      </c>
      <c r="I91" s="29">
        <v>5475</v>
      </c>
      <c r="J91" s="29" t="s">
        <v>64</v>
      </c>
      <c r="O91"/>
    </row>
    <row r="92" spans="4:16" ht="21" customHeight="1" x14ac:dyDescent="0.3">
      <c r="D92" s="15"/>
      <c r="E92" s="29" t="s">
        <v>363</v>
      </c>
      <c r="F92" s="49" t="s">
        <v>364</v>
      </c>
      <c r="G92" s="29" t="s">
        <v>57</v>
      </c>
      <c r="H92" s="49" t="s">
        <v>67</v>
      </c>
      <c r="I92" s="29">
        <v>3650</v>
      </c>
      <c r="J92" s="29" t="s">
        <v>41</v>
      </c>
      <c r="O92"/>
    </row>
    <row r="93" spans="4:16" ht="21" customHeight="1" x14ac:dyDescent="0.3">
      <c r="D93" s="15"/>
      <c r="E93" s="29" t="s">
        <v>365</v>
      </c>
      <c r="F93" s="49" t="s">
        <v>366</v>
      </c>
      <c r="G93" s="29" t="s">
        <v>345</v>
      </c>
      <c r="H93" s="49" t="s">
        <v>67</v>
      </c>
      <c r="I93" s="29">
        <v>10950</v>
      </c>
      <c r="J93" s="29" t="s">
        <v>41</v>
      </c>
      <c r="O93"/>
      <c r="P93" s="30"/>
    </row>
    <row r="94" spans="4:16" ht="21" customHeight="1" x14ac:dyDescent="0.3">
      <c r="D94" s="15"/>
      <c r="E94" s="29" t="s">
        <v>367</v>
      </c>
      <c r="F94" s="49" t="s">
        <v>368</v>
      </c>
      <c r="G94" s="29" t="s">
        <v>369</v>
      </c>
      <c r="H94" s="49" t="s">
        <v>40</v>
      </c>
      <c r="I94" s="29">
        <v>2190</v>
      </c>
      <c r="J94" s="29" t="s">
        <v>46</v>
      </c>
      <c r="O94"/>
    </row>
    <row r="95" spans="4:16" ht="21" customHeight="1" x14ac:dyDescent="0.3">
      <c r="D95" s="15"/>
      <c r="E95" s="29" t="s">
        <v>370</v>
      </c>
      <c r="F95" s="49" t="s">
        <v>371</v>
      </c>
      <c r="G95" s="29" t="s">
        <v>192</v>
      </c>
      <c r="H95" s="49" t="s">
        <v>40</v>
      </c>
      <c r="I95" s="29">
        <v>3650</v>
      </c>
      <c r="J95" s="29" t="s">
        <v>46</v>
      </c>
      <c r="O95"/>
    </row>
    <row r="96" spans="4:16" ht="21" customHeight="1" x14ac:dyDescent="0.3">
      <c r="D96" s="15"/>
      <c r="E96" s="29" t="s">
        <v>372</v>
      </c>
      <c r="F96" s="49" t="s">
        <v>373</v>
      </c>
      <c r="G96" s="29" t="s">
        <v>369</v>
      </c>
      <c r="H96" s="49" t="s">
        <v>40</v>
      </c>
      <c r="I96" s="29">
        <v>2190</v>
      </c>
      <c r="J96" s="29" t="s">
        <v>46</v>
      </c>
      <c r="O96"/>
    </row>
    <row r="97" spans="4:15" ht="33" customHeight="1" x14ac:dyDescent="0.3">
      <c r="D97" s="15"/>
      <c r="E97" s="29" t="s">
        <v>374</v>
      </c>
      <c r="F97" s="49" t="s">
        <v>375</v>
      </c>
      <c r="G97" s="29" t="s">
        <v>376</v>
      </c>
      <c r="H97" s="49" t="s">
        <v>67</v>
      </c>
      <c r="I97" s="29">
        <v>2555</v>
      </c>
      <c r="J97" t="e">
        <f>VLOOKUP($A97,[1]Sheet1!$1:$206,8,0)</f>
        <v>#N/A</v>
      </c>
      <c r="O97"/>
    </row>
    <row r="98" spans="4:15" ht="34.5" customHeight="1" x14ac:dyDescent="0.3">
      <c r="D98" s="15"/>
      <c r="E98" s="29" t="s">
        <v>377</v>
      </c>
      <c r="F98" s="49" t="s">
        <v>378</v>
      </c>
      <c r="G98" s="29" t="s">
        <v>320</v>
      </c>
      <c r="H98" s="49" t="s">
        <v>40</v>
      </c>
      <c r="I98" s="29">
        <v>2555</v>
      </c>
      <c r="J98" t="e">
        <f>VLOOKUP($A98,[1]Sheet1!$1:$206,8,0)</f>
        <v>#N/A</v>
      </c>
      <c r="O98"/>
    </row>
    <row r="99" spans="4:15" ht="21" customHeight="1" x14ac:dyDescent="0.3">
      <c r="D99" s="15"/>
      <c r="E99" s="29" t="s">
        <v>379</v>
      </c>
      <c r="F99" s="49" t="s">
        <v>380</v>
      </c>
      <c r="G99" s="29" t="s">
        <v>381</v>
      </c>
      <c r="H99" s="49" t="s">
        <v>338</v>
      </c>
      <c r="I99" s="29">
        <v>14600</v>
      </c>
      <c r="J99" t="e">
        <f>VLOOKUP($A99,[1]Sheet1!$1:$206,8,0)</f>
        <v>#N/A</v>
      </c>
      <c r="O99"/>
    </row>
    <row r="100" spans="4:15" ht="21" customHeight="1" x14ac:dyDescent="0.3">
      <c r="D100" s="15"/>
      <c r="E100" s="29" t="s">
        <v>382</v>
      </c>
      <c r="F100" s="49" t="s">
        <v>383</v>
      </c>
      <c r="G100" s="29" t="s">
        <v>384</v>
      </c>
      <c r="H100" s="49" t="s">
        <v>385</v>
      </c>
      <c r="I100" s="29">
        <v>21900</v>
      </c>
      <c r="J100" s="29" t="s">
        <v>64</v>
      </c>
      <c r="O100"/>
    </row>
    <row r="101" spans="4:15" ht="21" customHeight="1" x14ac:dyDescent="0.3">
      <c r="D101" s="15"/>
      <c r="E101" s="29" t="s">
        <v>386</v>
      </c>
      <c r="F101" s="49" t="s">
        <v>380</v>
      </c>
      <c r="G101" s="29" t="s">
        <v>387</v>
      </c>
      <c r="H101" s="49" t="s">
        <v>338</v>
      </c>
      <c r="I101" s="29">
        <v>27375</v>
      </c>
      <c r="J101" s="29" t="s">
        <v>64</v>
      </c>
      <c r="O101"/>
    </row>
    <row r="102" spans="4:15" ht="21" customHeight="1" x14ac:dyDescent="0.3">
      <c r="D102" s="15"/>
      <c r="E102" s="29" t="s">
        <v>388</v>
      </c>
      <c r="F102" s="49" t="s">
        <v>389</v>
      </c>
      <c r="G102" s="29" t="s">
        <v>49</v>
      </c>
      <c r="H102" s="49" t="s">
        <v>40</v>
      </c>
      <c r="I102" s="29">
        <v>1825</v>
      </c>
      <c r="J102" s="29" t="s">
        <v>46</v>
      </c>
      <c r="O102"/>
    </row>
    <row r="103" spans="4:15" ht="21" customHeight="1" x14ac:dyDescent="0.3">
      <c r="D103" s="15"/>
      <c r="E103" s="29" t="s">
        <v>390</v>
      </c>
      <c r="F103" s="49" t="s">
        <v>391</v>
      </c>
      <c r="G103" s="29" t="s">
        <v>353</v>
      </c>
      <c r="H103" s="49" t="s">
        <v>40</v>
      </c>
      <c r="I103" s="29">
        <v>10950</v>
      </c>
      <c r="J103" s="29" t="s">
        <v>46</v>
      </c>
      <c r="O103"/>
    </row>
    <row r="104" spans="4:15" ht="21" customHeight="1" x14ac:dyDescent="0.3">
      <c r="D104" s="15"/>
      <c r="E104" s="29" t="s">
        <v>392</v>
      </c>
      <c r="F104" s="49" t="s">
        <v>393</v>
      </c>
      <c r="G104" s="29" t="s">
        <v>353</v>
      </c>
      <c r="H104" s="49" t="s">
        <v>40</v>
      </c>
      <c r="I104" s="29">
        <v>10950</v>
      </c>
      <c r="J104" s="29" t="s">
        <v>46</v>
      </c>
      <c r="O104"/>
    </row>
    <row r="105" spans="4:15" ht="34.5" customHeight="1" x14ac:dyDescent="0.3">
      <c r="D105" s="15"/>
      <c r="E105" s="29" t="s">
        <v>394</v>
      </c>
      <c r="F105" s="49" t="s">
        <v>395</v>
      </c>
      <c r="G105" s="29" t="s">
        <v>148</v>
      </c>
      <c r="H105" s="49" t="s">
        <v>149</v>
      </c>
      <c r="I105" s="29">
        <v>365</v>
      </c>
      <c r="J105" s="29" t="s">
        <v>46</v>
      </c>
      <c r="O105"/>
    </row>
    <row r="106" spans="4:15" ht="21" customHeight="1" x14ac:dyDescent="0.3">
      <c r="D106" s="15"/>
      <c r="E106" s="29" t="s">
        <v>396</v>
      </c>
      <c r="F106" s="49" t="s">
        <v>397</v>
      </c>
      <c r="G106" s="29" t="s">
        <v>345</v>
      </c>
      <c r="H106" s="49" t="s">
        <v>398</v>
      </c>
      <c r="I106" s="29">
        <v>10950</v>
      </c>
      <c r="J106" s="29" t="s">
        <v>41</v>
      </c>
      <c r="O106"/>
    </row>
    <row r="107" spans="4:15" ht="21" customHeight="1" x14ac:dyDescent="0.3">
      <c r="D107" s="15"/>
      <c r="E107" s="29" t="s">
        <v>399</v>
      </c>
      <c r="F107" s="49" t="s">
        <v>400</v>
      </c>
      <c r="G107" s="29" t="s">
        <v>57</v>
      </c>
      <c r="H107" s="49" t="s">
        <v>401</v>
      </c>
      <c r="I107" s="29">
        <v>3650</v>
      </c>
      <c r="J107" s="29" t="s">
        <v>64</v>
      </c>
    </row>
    <row r="108" spans="4:15" ht="21" customHeight="1" x14ac:dyDescent="0.3">
      <c r="D108" s="15"/>
      <c r="E108" s="29" t="s">
        <v>402</v>
      </c>
      <c r="F108" s="49" t="s">
        <v>403</v>
      </c>
      <c r="G108" s="29" t="s">
        <v>148</v>
      </c>
      <c r="H108" s="49" t="s">
        <v>149</v>
      </c>
      <c r="I108" s="29">
        <v>365</v>
      </c>
      <c r="J108" s="29" t="s">
        <v>64</v>
      </c>
      <c r="O108" s="30"/>
    </row>
    <row r="109" spans="4:15" ht="21" customHeight="1" x14ac:dyDescent="0.3">
      <c r="D109" s="15"/>
      <c r="E109" s="29" t="s">
        <v>404</v>
      </c>
      <c r="F109" s="49" t="s">
        <v>405</v>
      </c>
      <c r="G109" s="29" t="s">
        <v>356</v>
      </c>
      <c r="H109" s="49" t="s">
        <v>40</v>
      </c>
      <c r="I109" s="29">
        <v>27375</v>
      </c>
      <c r="J109" s="29" t="s">
        <v>64</v>
      </c>
      <c r="O109"/>
    </row>
    <row r="110" spans="4:15" ht="21" customHeight="1" x14ac:dyDescent="0.3">
      <c r="D110" s="15"/>
      <c r="E110" s="29" t="s">
        <v>406</v>
      </c>
      <c r="F110" s="49" t="s">
        <v>407</v>
      </c>
      <c r="G110" s="29" t="s">
        <v>333</v>
      </c>
      <c r="H110" s="49" t="s">
        <v>40</v>
      </c>
      <c r="I110" s="29">
        <v>18250</v>
      </c>
      <c r="J110" s="29" t="s">
        <v>64</v>
      </c>
      <c r="O110"/>
    </row>
    <row r="111" spans="4:15" ht="21" customHeight="1" x14ac:dyDescent="0.3">
      <c r="D111" s="15"/>
      <c r="E111" s="29" t="s">
        <v>408</v>
      </c>
      <c r="F111" s="49" t="s">
        <v>409</v>
      </c>
      <c r="G111" s="29" t="s">
        <v>345</v>
      </c>
      <c r="H111" s="49" t="s">
        <v>362</v>
      </c>
      <c r="I111" s="29">
        <v>10950</v>
      </c>
      <c r="J111" s="29" t="s">
        <v>64</v>
      </c>
      <c r="O111"/>
    </row>
    <row r="112" spans="4:15" ht="21" customHeight="1" x14ac:dyDescent="0.3">
      <c r="D112" s="15"/>
      <c r="E112" s="29" t="s">
        <v>410</v>
      </c>
      <c r="F112" s="49" t="s">
        <v>411</v>
      </c>
      <c r="G112" s="29" t="s">
        <v>280</v>
      </c>
      <c r="H112" s="49" t="s">
        <v>214</v>
      </c>
      <c r="I112" s="29">
        <v>2190</v>
      </c>
      <c r="J112" s="29" t="s">
        <v>64</v>
      </c>
      <c r="O112"/>
    </row>
    <row r="113" spans="4:15" ht="21" customHeight="1" x14ac:dyDescent="0.3">
      <c r="D113" s="15"/>
      <c r="E113" s="29" t="s">
        <v>412</v>
      </c>
      <c r="F113" s="49" t="s">
        <v>413</v>
      </c>
      <c r="G113" s="29" t="s">
        <v>376</v>
      </c>
      <c r="H113" s="49" t="s">
        <v>338</v>
      </c>
      <c r="I113" s="29">
        <v>2555</v>
      </c>
      <c r="J113" s="29" t="s">
        <v>64</v>
      </c>
      <c r="O113"/>
    </row>
    <row r="114" spans="4:15" ht="47.25" customHeight="1" x14ac:dyDescent="0.3">
      <c r="D114" s="15"/>
      <c r="E114" s="29" t="s">
        <v>414</v>
      </c>
      <c r="F114" s="49" t="s">
        <v>415</v>
      </c>
      <c r="G114" s="29" t="s">
        <v>192</v>
      </c>
      <c r="H114" s="49" t="s">
        <v>40</v>
      </c>
      <c r="I114" s="29">
        <v>3650</v>
      </c>
      <c r="J114" s="29" t="s">
        <v>64</v>
      </c>
      <c r="O114"/>
    </row>
    <row r="115" spans="4:15" ht="21" customHeight="1" x14ac:dyDescent="0.3">
      <c r="D115" s="15"/>
      <c r="E115" s="29" t="s">
        <v>416</v>
      </c>
      <c r="F115" s="49" t="s">
        <v>417</v>
      </c>
      <c r="G115" s="29" t="s">
        <v>280</v>
      </c>
      <c r="H115" s="49" t="s">
        <v>338</v>
      </c>
      <c r="I115" s="29">
        <v>2190</v>
      </c>
      <c r="J115" s="29" t="s">
        <v>64</v>
      </c>
      <c r="O115"/>
    </row>
    <row r="116" spans="4:15" ht="21" customHeight="1" x14ac:dyDescent="0.3">
      <c r="D116" s="15"/>
      <c r="E116" s="29" t="s">
        <v>418</v>
      </c>
      <c r="F116" s="49" t="s">
        <v>419</v>
      </c>
      <c r="G116" s="29" t="s">
        <v>148</v>
      </c>
      <c r="H116" s="49" t="s">
        <v>149</v>
      </c>
      <c r="I116" s="29">
        <v>365</v>
      </c>
      <c r="J116" s="29" t="s">
        <v>64</v>
      </c>
      <c r="O116"/>
    </row>
    <row r="117" spans="4:15" ht="26.25" customHeight="1" x14ac:dyDescent="0.3">
      <c r="D117" s="15"/>
      <c r="E117" s="29" t="s">
        <v>420</v>
      </c>
      <c r="F117" s="49" t="s">
        <v>421</v>
      </c>
      <c r="G117" s="29" t="s">
        <v>422</v>
      </c>
      <c r="H117" s="49" t="s">
        <v>338</v>
      </c>
      <c r="I117" s="29">
        <v>18250</v>
      </c>
      <c r="J117" s="29" t="s">
        <v>64</v>
      </c>
      <c r="O117"/>
    </row>
    <row r="118" spans="4:15" ht="21" customHeight="1" x14ac:dyDescent="0.3">
      <c r="D118" s="15"/>
      <c r="E118" s="29" t="s">
        <v>423</v>
      </c>
      <c r="F118" s="49" t="s">
        <v>424</v>
      </c>
      <c r="G118" s="29" t="s">
        <v>57</v>
      </c>
      <c r="H118" s="49" t="s">
        <v>338</v>
      </c>
      <c r="I118" s="29">
        <v>3650</v>
      </c>
      <c r="J118" s="29" t="s">
        <v>64</v>
      </c>
      <c r="O118"/>
    </row>
    <row r="119" spans="4:15" ht="21" customHeight="1" x14ac:dyDescent="0.3">
      <c r="D119" s="15"/>
      <c r="E119" s="29" t="s">
        <v>425</v>
      </c>
      <c r="F119" s="49" t="s">
        <v>426</v>
      </c>
      <c r="G119" s="29" t="s">
        <v>153</v>
      </c>
      <c r="H119" s="49" t="s">
        <v>338</v>
      </c>
      <c r="I119" s="29">
        <v>1</v>
      </c>
      <c r="J119" s="29" t="s">
        <v>64</v>
      </c>
      <c r="O119"/>
    </row>
    <row r="120" spans="4:15" ht="21" customHeight="1" x14ac:dyDescent="0.3">
      <c r="D120" s="15"/>
      <c r="E120" s="29" t="s">
        <v>427</v>
      </c>
      <c r="F120" s="49" t="s">
        <v>428</v>
      </c>
      <c r="G120" s="29" t="s">
        <v>429</v>
      </c>
      <c r="H120" s="49" t="s">
        <v>338</v>
      </c>
      <c r="I120" s="29">
        <v>180</v>
      </c>
      <c r="J120" s="29" t="s">
        <v>64</v>
      </c>
      <c r="O120"/>
    </row>
    <row r="121" spans="4:15" ht="21" customHeight="1" x14ac:dyDescent="0.3">
      <c r="D121" s="15"/>
      <c r="E121" s="29" t="s">
        <v>430</v>
      </c>
      <c r="F121" s="49" t="s">
        <v>431</v>
      </c>
      <c r="G121" s="29" t="s">
        <v>432</v>
      </c>
      <c r="H121" s="49" t="s">
        <v>40</v>
      </c>
      <c r="I121" s="29">
        <v>365</v>
      </c>
      <c r="J121" s="29" t="s">
        <v>64</v>
      </c>
    </row>
    <row r="122" spans="4:15" ht="28.5" customHeight="1" x14ac:dyDescent="0.3">
      <c r="D122" s="15"/>
      <c r="E122" s="29" t="s">
        <v>433</v>
      </c>
      <c r="F122" s="49" t="s">
        <v>434</v>
      </c>
      <c r="G122" s="29" t="s">
        <v>209</v>
      </c>
      <c r="H122" s="49" t="s">
        <v>40</v>
      </c>
      <c r="I122" s="29">
        <v>2555</v>
      </c>
      <c r="J122" s="29" t="s">
        <v>64</v>
      </c>
    </row>
    <row r="123" spans="4:15" ht="42.75" customHeight="1" x14ac:dyDescent="0.3">
      <c r="D123" s="15"/>
      <c r="E123" s="29" t="s">
        <v>435</v>
      </c>
      <c r="F123" s="49" t="s">
        <v>436</v>
      </c>
      <c r="G123" s="29" t="s">
        <v>49</v>
      </c>
      <c r="H123" s="49" t="s">
        <v>40</v>
      </c>
      <c r="I123" s="29">
        <v>1825</v>
      </c>
      <c r="J123" s="29" t="s">
        <v>64</v>
      </c>
    </row>
    <row r="124" spans="4:15" ht="21" customHeight="1" x14ac:dyDescent="0.3">
      <c r="D124" s="15"/>
      <c r="E124" s="29" t="s">
        <v>437</v>
      </c>
      <c r="F124" s="49" t="s">
        <v>438</v>
      </c>
      <c r="G124" s="29" t="s">
        <v>345</v>
      </c>
      <c r="H124" s="49" t="s">
        <v>338</v>
      </c>
      <c r="I124" s="29">
        <v>10950</v>
      </c>
      <c r="J124" s="29" t="s">
        <v>64</v>
      </c>
    </row>
    <row r="125" spans="4:15" ht="21" customHeight="1" x14ac:dyDescent="0.3">
      <c r="D125" s="15"/>
      <c r="E125" s="29" t="s">
        <v>439</v>
      </c>
      <c r="F125" s="49" t="s">
        <v>440</v>
      </c>
      <c r="G125" s="29" t="s">
        <v>148</v>
      </c>
      <c r="H125" s="49" t="s">
        <v>149</v>
      </c>
      <c r="I125" s="29">
        <v>365</v>
      </c>
      <c r="J125" s="29" t="s">
        <v>64</v>
      </c>
    </row>
    <row r="126" spans="4:15" ht="21" customHeight="1" x14ac:dyDescent="0.3">
      <c r="D126" s="15"/>
      <c r="E126" s="29" t="s">
        <v>441</v>
      </c>
      <c r="F126" s="49" t="s">
        <v>442</v>
      </c>
      <c r="G126" s="29" t="s">
        <v>381</v>
      </c>
      <c r="H126" s="49" t="s">
        <v>338</v>
      </c>
      <c r="I126" s="29">
        <v>14600</v>
      </c>
      <c r="J126" s="29" t="s">
        <v>64</v>
      </c>
    </row>
    <row r="127" spans="4:15" ht="21" customHeight="1" x14ac:dyDescent="0.3">
      <c r="D127" s="15"/>
      <c r="E127" s="29" t="s">
        <v>443</v>
      </c>
      <c r="F127" s="49" t="s">
        <v>444</v>
      </c>
      <c r="G127" s="29" t="s">
        <v>49</v>
      </c>
      <c r="H127" s="49" t="s">
        <v>40</v>
      </c>
      <c r="I127" s="29">
        <v>1825</v>
      </c>
      <c r="J127" s="29" t="s">
        <v>41</v>
      </c>
    </row>
    <row r="128" spans="4:15" ht="21" customHeight="1" x14ac:dyDescent="0.3">
      <c r="D128" s="15"/>
      <c r="E128" s="29" t="s">
        <v>445</v>
      </c>
      <c r="F128" s="49" t="s">
        <v>446</v>
      </c>
      <c r="G128" s="29" t="s">
        <v>57</v>
      </c>
      <c r="H128" s="49" t="s">
        <v>338</v>
      </c>
      <c r="I128" s="29">
        <v>3650</v>
      </c>
      <c r="J128" s="29" t="s">
        <v>41</v>
      </c>
    </row>
    <row r="129" spans="4:10" ht="21" customHeight="1" x14ac:dyDescent="0.3">
      <c r="D129" s="15"/>
      <c r="E129" s="29" t="s">
        <v>447</v>
      </c>
      <c r="F129" s="49" t="s">
        <v>448</v>
      </c>
      <c r="G129" s="29" t="s">
        <v>57</v>
      </c>
      <c r="H129" s="49" t="s">
        <v>67</v>
      </c>
      <c r="I129" s="29">
        <v>3650</v>
      </c>
      <c r="J129" s="29" t="s">
        <v>41</v>
      </c>
    </row>
    <row r="130" spans="4:10" ht="21" customHeight="1" x14ac:dyDescent="0.3">
      <c r="D130" s="15"/>
      <c r="E130" s="29" t="s">
        <v>449</v>
      </c>
      <c r="F130" s="49" t="s">
        <v>450</v>
      </c>
      <c r="G130" s="29" t="s">
        <v>93</v>
      </c>
      <c r="H130" s="49" t="s">
        <v>67</v>
      </c>
      <c r="I130" s="29">
        <v>1825</v>
      </c>
      <c r="J130" s="29" t="s">
        <v>41</v>
      </c>
    </row>
    <row r="131" spans="4:10" ht="21" customHeight="1" x14ac:dyDescent="0.3">
      <c r="D131" s="15"/>
      <c r="E131" s="29" t="s">
        <v>451</v>
      </c>
      <c r="F131" s="49" t="s">
        <v>452</v>
      </c>
      <c r="G131" s="29" t="s">
        <v>376</v>
      </c>
      <c r="H131" s="49" t="s">
        <v>453</v>
      </c>
      <c r="I131" s="29">
        <v>2555</v>
      </c>
      <c r="J131" s="29" t="s">
        <v>41</v>
      </c>
    </row>
    <row r="132" spans="4:10" ht="21" customHeight="1" x14ac:dyDescent="0.3">
      <c r="D132" s="15"/>
      <c r="E132" s="29" t="s">
        <v>454</v>
      </c>
      <c r="F132" s="49" t="s">
        <v>455</v>
      </c>
      <c r="G132" s="29" t="s">
        <v>49</v>
      </c>
      <c r="H132" s="49" t="s">
        <v>40</v>
      </c>
      <c r="I132" s="29">
        <v>1825</v>
      </c>
      <c r="J132" s="29" t="s">
        <v>41</v>
      </c>
    </row>
    <row r="133" spans="4:10" ht="21" customHeight="1" x14ac:dyDescent="0.3">
      <c r="D133" s="15"/>
      <c r="E133" s="29" t="s">
        <v>456</v>
      </c>
      <c r="F133" s="49" t="s">
        <v>457</v>
      </c>
      <c r="G133" s="29" t="s">
        <v>93</v>
      </c>
      <c r="H133" s="49" t="s">
        <v>67</v>
      </c>
      <c r="I133" s="29">
        <v>1825</v>
      </c>
      <c r="J133" s="29" t="s">
        <v>41</v>
      </c>
    </row>
    <row r="134" spans="4:10" ht="36.6" customHeight="1" x14ac:dyDescent="0.3">
      <c r="D134" s="15"/>
      <c r="E134" s="29" t="s">
        <v>458</v>
      </c>
      <c r="F134" s="49" t="s">
        <v>459</v>
      </c>
      <c r="G134" s="29" t="s">
        <v>460</v>
      </c>
      <c r="H134" s="49" t="s">
        <v>40</v>
      </c>
      <c r="I134" s="29">
        <v>365</v>
      </c>
      <c r="J134" s="29" t="s">
        <v>41</v>
      </c>
    </row>
    <row r="135" spans="4:10" ht="21" customHeight="1" x14ac:dyDescent="0.3">
      <c r="D135" s="15"/>
      <c r="E135" s="29" t="s">
        <v>461</v>
      </c>
      <c r="F135" s="49" t="s">
        <v>462</v>
      </c>
      <c r="G135" s="29" t="s">
        <v>49</v>
      </c>
      <c r="H135" s="49" t="s">
        <v>40</v>
      </c>
      <c r="I135" s="29">
        <v>1825</v>
      </c>
      <c r="J135" s="29" t="s">
        <v>64</v>
      </c>
    </row>
    <row r="136" spans="4:10" ht="21" customHeight="1" x14ac:dyDescent="0.3">
      <c r="D136" s="15"/>
      <c r="E136" s="29" t="s">
        <v>463</v>
      </c>
      <c r="F136" s="49" t="s">
        <v>464</v>
      </c>
      <c r="G136" s="29" t="s">
        <v>280</v>
      </c>
      <c r="H136" s="49" t="s">
        <v>465</v>
      </c>
      <c r="I136" s="29">
        <v>2190</v>
      </c>
      <c r="J136" s="29" t="s">
        <v>41</v>
      </c>
    </row>
    <row r="137" spans="4:10" ht="21" customHeight="1" x14ac:dyDescent="0.3">
      <c r="D137" s="15"/>
      <c r="E137" s="29" t="s">
        <v>466</v>
      </c>
      <c r="F137" s="49" t="s">
        <v>467</v>
      </c>
      <c r="G137" s="29" t="s">
        <v>93</v>
      </c>
      <c r="H137" s="49" t="s">
        <v>468</v>
      </c>
      <c r="I137" s="29">
        <v>1825</v>
      </c>
      <c r="J137" s="29" t="s">
        <v>41</v>
      </c>
    </row>
    <row r="138" spans="4:10" ht="21" customHeight="1" x14ac:dyDescent="0.3">
      <c r="D138" s="15"/>
      <c r="E138" s="29" t="s">
        <v>469</v>
      </c>
      <c r="F138" s="49" t="s">
        <v>470</v>
      </c>
      <c r="G138" s="29" t="s">
        <v>376</v>
      </c>
      <c r="H138" s="49" t="s">
        <v>67</v>
      </c>
      <c r="I138" s="29">
        <v>2555</v>
      </c>
      <c r="J138" s="29" t="s">
        <v>41</v>
      </c>
    </row>
    <row r="139" spans="4:10" ht="21" customHeight="1" x14ac:dyDescent="0.3">
      <c r="D139" s="15"/>
      <c r="E139" s="29" t="s">
        <v>471</v>
      </c>
      <c r="F139" s="49" t="s">
        <v>472</v>
      </c>
      <c r="G139" s="29" t="s">
        <v>473</v>
      </c>
      <c r="H139" s="49" t="s">
        <v>67</v>
      </c>
      <c r="I139" s="29">
        <v>1095</v>
      </c>
      <c r="J139" s="29" t="s">
        <v>41</v>
      </c>
    </row>
    <row r="140" spans="4:10" ht="21" customHeight="1" x14ac:dyDescent="0.3">
      <c r="D140" s="15"/>
      <c r="E140" s="29" t="s">
        <v>474</v>
      </c>
      <c r="F140" s="49" t="s">
        <v>475</v>
      </c>
      <c r="G140" s="29" t="s">
        <v>57</v>
      </c>
      <c r="H140" s="49" t="s">
        <v>286</v>
      </c>
      <c r="I140" s="29">
        <v>3650</v>
      </c>
      <c r="J140" s="29" t="s">
        <v>41</v>
      </c>
    </row>
    <row r="141" spans="4:10" ht="21" customHeight="1" x14ac:dyDescent="0.3">
      <c r="D141" s="15"/>
      <c r="E141" s="29" t="s">
        <v>476</v>
      </c>
      <c r="F141" s="49" t="s">
        <v>477</v>
      </c>
      <c r="G141" s="29" t="s">
        <v>57</v>
      </c>
      <c r="H141" s="49" t="s">
        <v>478</v>
      </c>
      <c r="I141" s="29">
        <v>3650</v>
      </c>
      <c r="J141" s="29" t="s">
        <v>41</v>
      </c>
    </row>
    <row r="142" spans="4:10" ht="21" customHeight="1" x14ac:dyDescent="0.3">
      <c r="D142" s="15"/>
      <c r="E142" s="29" t="s">
        <v>479</v>
      </c>
      <c r="F142" s="49" t="s">
        <v>480</v>
      </c>
      <c r="G142" s="29" t="s">
        <v>57</v>
      </c>
      <c r="H142" s="49" t="s">
        <v>286</v>
      </c>
      <c r="I142" s="29">
        <v>3650</v>
      </c>
      <c r="J142" s="29" t="s">
        <v>64</v>
      </c>
    </row>
    <row r="143" spans="4:10" ht="21" customHeight="1" x14ac:dyDescent="0.3">
      <c r="D143" s="15"/>
      <c r="E143" s="29" t="s">
        <v>481</v>
      </c>
      <c r="F143" s="49" t="s">
        <v>482</v>
      </c>
      <c r="G143" s="29" t="s">
        <v>39</v>
      </c>
      <c r="H143" s="49" t="s">
        <v>286</v>
      </c>
      <c r="I143" s="29">
        <v>180</v>
      </c>
      <c r="J143" s="29" t="s">
        <v>64</v>
      </c>
    </row>
    <row r="144" spans="4:10" ht="21" customHeight="1" x14ac:dyDescent="0.3">
      <c r="D144" s="15"/>
      <c r="E144" s="29" t="s">
        <v>483</v>
      </c>
      <c r="F144" s="49" t="s">
        <v>484</v>
      </c>
      <c r="G144" s="29" t="s">
        <v>485</v>
      </c>
      <c r="H144" s="49" t="s">
        <v>486</v>
      </c>
      <c r="I144" s="29">
        <v>60</v>
      </c>
      <c r="J144" s="29" t="s">
        <v>64</v>
      </c>
    </row>
    <row r="145" spans="4:10" ht="21" customHeight="1" x14ac:dyDescent="0.3">
      <c r="D145" s="15"/>
      <c r="E145" s="29" t="s">
        <v>487</v>
      </c>
      <c r="F145" s="49" t="s">
        <v>488</v>
      </c>
      <c r="G145" s="29" t="s">
        <v>361</v>
      </c>
      <c r="H145" s="49" t="s">
        <v>489</v>
      </c>
      <c r="I145" s="29">
        <v>5475</v>
      </c>
      <c r="J145" s="29" t="s">
        <v>41</v>
      </c>
    </row>
    <row r="146" spans="4:10" ht="21" customHeight="1" x14ac:dyDescent="0.3">
      <c r="D146" s="15"/>
      <c r="E146" s="29" t="s">
        <v>490</v>
      </c>
      <c r="F146" s="49" t="s">
        <v>491</v>
      </c>
      <c r="G146" s="29" t="s">
        <v>320</v>
      </c>
      <c r="H146" s="49" t="s">
        <v>40</v>
      </c>
      <c r="I146" s="29">
        <v>2555</v>
      </c>
      <c r="J146" s="29" t="s">
        <v>41</v>
      </c>
    </row>
    <row r="147" spans="4:10" ht="21" customHeight="1" x14ac:dyDescent="0.3">
      <c r="D147" s="15"/>
      <c r="E147" s="29" t="s">
        <v>492</v>
      </c>
      <c r="F147" s="49" t="s">
        <v>493</v>
      </c>
      <c r="G147" s="29" t="s">
        <v>57</v>
      </c>
      <c r="H147" s="49" t="s">
        <v>268</v>
      </c>
      <c r="I147" s="29">
        <v>3650</v>
      </c>
      <c r="J147" s="29" t="s">
        <v>41</v>
      </c>
    </row>
    <row r="148" spans="4:10" ht="21" customHeight="1" x14ac:dyDescent="0.3">
      <c r="D148" s="15"/>
      <c r="E148" s="29" t="s">
        <v>494</v>
      </c>
      <c r="F148" s="49" t="s">
        <v>495</v>
      </c>
      <c r="G148" s="29" t="s">
        <v>192</v>
      </c>
      <c r="H148" s="49" t="s">
        <v>40</v>
      </c>
      <c r="I148" s="29">
        <v>3650</v>
      </c>
      <c r="J148" s="29" t="s">
        <v>41</v>
      </c>
    </row>
    <row r="149" spans="4:10" ht="21" customHeight="1" x14ac:dyDescent="0.3">
      <c r="D149" s="15"/>
      <c r="E149" s="29" t="s">
        <v>496</v>
      </c>
      <c r="F149" s="49" t="s">
        <v>497</v>
      </c>
      <c r="G149" s="29" t="s">
        <v>361</v>
      </c>
      <c r="H149" s="49" t="s">
        <v>498</v>
      </c>
      <c r="I149" s="29">
        <v>5475</v>
      </c>
      <c r="J149" s="29" t="s">
        <v>41</v>
      </c>
    </row>
    <row r="150" spans="4:10" ht="21" customHeight="1" x14ac:dyDescent="0.3">
      <c r="D150" s="15"/>
      <c r="E150" s="29" t="s">
        <v>499</v>
      </c>
      <c r="F150" s="49" t="s">
        <v>500</v>
      </c>
      <c r="G150" s="29" t="s">
        <v>148</v>
      </c>
      <c r="H150" s="49" t="s">
        <v>149</v>
      </c>
      <c r="I150" s="29">
        <v>365</v>
      </c>
      <c r="J150" s="29" t="s">
        <v>41</v>
      </c>
    </row>
    <row r="151" spans="4:10" ht="21" customHeight="1" x14ac:dyDescent="0.3">
      <c r="D151" s="15"/>
      <c r="E151" s="29" t="s">
        <v>501</v>
      </c>
      <c r="F151" s="49" t="s">
        <v>502</v>
      </c>
      <c r="G151" s="29" t="s">
        <v>93</v>
      </c>
      <c r="H151" s="49" t="s">
        <v>67</v>
      </c>
      <c r="I151" s="29">
        <v>1825</v>
      </c>
      <c r="J151" s="29" t="s">
        <v>41</v>
      </c>
    </row>
    <row r="152" spans="4:10" ht="21" customHeight="1" x14ac:dyDescent="0.3">
      <c r="D152" s="15"/>
      <c r="E152" s="29" t="s">
        <v>503</v>
      </c>
      <c r="F152" s="49" t="s">
        <v>504</v>
      </c>
      <c r="G152" s="29" t="s">
        <v>49</v>
      </c>
      <c r="H152" s="49" t="s">
        <v>40</v>
      </c>
      <c r="I152" s="29">
        <v>1825</v>
      </c>
      <c r="J152" s="29" t="s">
        <v>41</v>
      </c>
    </row>
    <row r="153" spans="4:10" ht="21" customHeight="1" x14ac:dyDescent="0.3">
      <c r="D153" s="15"/>
      <c r="E153" s="29" t="s">
        <v>505</v>
      </c>
      <c r="F153" s="49" t="s">
        <v>506</v>
      </c>
      <c r="G153" s="29" t="s">
        <v>209</v>
      </c>
      <c r="H153" s="49" t="s">
        <v>40</v>
      </c>
      <c r="I153" s="29">
        <v>2555</v>
      </c>
      <c r="J153" s="29" t="s">
        <v>41</v>
      </c>
    </row>
    <row r="154" spans="4:10" ht="21" customHeight="1" x14ac:dyDescent="0.3">
      <c r="D154" s="15"/>
      <c r="E154" s="29" t="s">
        <v>507</v>
      </c>
      <c r="F154" s="49" t="s">
        <v>508</v>
      </c>
      <c r="G154" s="29" t="s">
        <v>57</v>
      </c>
      <c r="H154" s="49" t="s">
        <v>67</v>
      </c>
      <c r="I154" s="29">
        <v>3650</v>
      </c>
      <c r="J154" s="29" t="s">
        <v>64</v>
      </c>
    </row>
    <row r="155" spans="4:10" ht="41.7" customHeight="1" x14ac:dyDescent="0.3">
      <c r="D155" s="15"/>
      <c r="E155" s="29" t="s">
        <v>509</v>
      </c>
      <c r="F155" s="49" t="s">
        <v>510</v>
      </c>
      <c r="G155" s="29" t="s">
        <v>148</v>
      </c>
      <c r="H155" s="49" t="s">
        <v>149</v>
      </c>
      <c r="I155" s="29">
        <v>365</v>
      </c>
      <c r="J155" s="29" t="s">
        <v>64</v>
      </c>
    </row>
    <row r="156" spans="4:10" ht="21" customHeight="1" x14ac:dyDescent="0.3">
      <c r="D156" s="15"/>
      <c r="E156" s="29" t="s">
        <v>511</v>
      </c>
      <c r="F156" s="49" t="s">
        <v>512</v>
      </c>
      <c r="G156" s="29" t="s">
        <v>192</v>
      </c>
      <c r="H156" s="49" t="s">
        <v>40</v>
      </c>
      <c r="I156" s="29">
        <v>3650</v>
      </c>
      <c r="J156" s="29" t="s">
        <v>41</v>
      </c>
    </row>
    <row r="157" spans="4:10" ht="21" customHeight="1" x14ac:dyDescent="0.3">
      <c r="D157" s="15"/>
      <c r="E157" s="29" t="s">
        <v>513</v>
      </c>
      <c r="F157" s="49" t="s">
        <v>514</v>
      </c>
      <c r="G157" s="29" t="s">
        <v>93</v>
      </c>
      <c r="H157" s="49" t="s">
        <v>67</v>
      </c>
      <c r="I157" s="29">
        <v>1825</v>
      </c>
      <c r="J157" s="29" t="s">
        <v>41</v>
      </c>
    </row>
    <row r="158" spans="4:10" ht="21" customHeight="1" x14ac:dyDescent="0.3">
      <c r="D158" s="15"/>
      <c r="E158" s="29" t="s">
        <v>515</v>
      </c>
      <c r="F158" s="49" t="s">
        <v>516</v>
      </c>
      <c r="G158" s="29" t="s">
        <v>57</v>
      </c>
      <c r="H158" s="49" t="s">
        <v>94</v>
      </c>
      <c r="I158" s="29">
        <v>3650</v>
      </c>
      <c r="J158" s="29" t="s">
        <v>41</v>
      </c>
    </row>
    <row r="159" spans="4:10" ht="21" customHeight="1" x14ac:dyDescent="0.3">
      <c r="D159" s="15"/>
      <c r="E159" s="29" t="s">
        <v>517</v>
      </c>
      <c r="F159" s="49" t="s">
        <v>518</v>
      </c>
      <c r="G159" s="29" t="s">
        <v>345</v>
      </c>
      <c r="H159" s="49" t="s">
        <v>519</v>
      </c>
      <c r="I159" s="29">
        <v>10950</v>
      </c>
      <c r="J159" s="29" t="s">
        <v>41</v>
      </c>
    </row>
    <row r="160" spans="4:10" ht="21" customHeight="1" x14ac:dyDescent="0.3">
      <c r="E160" s="29" t="s">
        <v>520</v>
      </c>
      <c r="F160" s="49" t="s">
        <v>521</v>
      </c>
      <c r="G160" s="29" t="s">
        <v>361</v>
      </c>
      <c r="H160" s="49" t="s">
        <v>453</v>
      </c>
      <c r="I160" s="29">
        <v>5475</v>
      </c>
      <c r="J160" s="29" t="s">
        <v>41</v>
      </c>
    </row>
    <row r="161" spans="5:10" ht="21" customHeight="1" x14ac:dyDescent="0.3">
      <c r="E161" s="29" t="s">
        <v>522</v>
      </c>
      <c r="F161" s="49" t="s">
        <v>523</v>
      </c>
      <c r="G161" s="29" t="s">
        <v>345</v>
      </c>
      <c r="H161" s="49" t="s">
        <v>94</v>
      </c>
      <c r="I161" s="29">
        <v>10950</v>
      </c>
      <c r="J161" s="29" t="s">
        <v>41</v>
      </c>
    </row>
    <row r="162" spans="5:10" ht="21" customHeight="1" x14ac:dyDescent="0.3">
      <c r="E162" s="29" t="s">
        <v>524</v>
      </c>
      <c r="F162" s="49" t="s">
        <v>525</v>
      </c>
      <c r="G162" s="29" t="s">
        <v>345</v>
      </c>
      <c r="H162" s="49" t="s">
        <v>94</v>
      </c>
      <c r="I162" s="29">
        <v>10950</v>
      </c>
      <c r="J162" s="29" t="s">
        <v>41</v>
      </c>
    </row>
    <row r="163" spans="5:10" ht="21" customHeight="1" x14ac:dyDescent="0.3">
      <c r="E163" s="29" t="s">
        <v>526</v>
      </c>
      <c r="F163" s="49" t="s">
        <v>527</v>
      </c>
      <c r="G163" s="29" t="s">
        <v>345</v>
      </c>
      <c r="H163" s="49" t="s">
        <v>94</v>
      </c>
      <c r="I163" s="29">
        <v>10950</v>
      </c>
      <c r="J163" s="29" t="s">
        <v>41</v>
      </c>
    </row>
    <row r="164" spans="5:10" ht="21" customHeight="1" x14ac:dyDescent="0.3">
      <c r="E164" s="29" t="s">
        <v>528</v>
      </c>
      <c r="F164" s="49" t="s">
        <v>529</v>
      </c>
      <c r="G164" s="29" t="s">
        <v>148</v>
      </c>
      <c r="H164" s="49" t="s">
        <v>149</v>
      </c>
      <c r="I164" s="29">
        <v>365</v>
      </c>
      <c r="J164" s="29" t="s">
        <v>64</v>
      </c>
    </row>
    <row r="165" spans="5:10" ht="21" customHeight="1" x14ac:dyDescent="0.3">
      <c r="E165" s="29" t="s">
        <v>530</v>
      </c>
      <c r="F165" s="49" t="s">
        <v>531</v>
      </c>
      <c r="G165" s="29" t="s">
        <v>361</v>
      </c>
      <c r="H165" s="49" t="s">
        <v>489</v>
      </c>
      <c r="I165" s="29">
        <v>5475</v>
      </c>
      <c r="J165" s="29" t="s">
        <v>41</v>
      </c>
    </row>
    <row r="166" spans="5:10" ht="21" customHeight="1" x14ac:dyDescent="0.3">
      <c r="E166" s="29" t="s">
        <v>532</v>
      </c>
      <c r="F166" s="49" t="s">
        <v>533</v>
      </c>
      <c r="G166" s="29" t="s">
        <v>57</v>
      </c>
      <c r="H166" s="49" t="s">
        <v>94</v>
      </c>
      <c r="I166" s="29">
        <v>3650</v>
      </c>
      <c r="J166" s="29" t="s">
        <v>41</v>
      </c>
    </row>
    <row r="167" spans="5:10" ht="31.5" customHeight="1" x14ac:dyDescent="0.3">
      <c r="E167" s="29" t="s">
        <v>534</v>
      </c>
      <c r="F167" s="49" t="s">
        <v>535</v>
      </c>
      <c r="G167" s="29" t="s">
        <v>536</v>
      </c>
      <c r="H167" s="49" t="s">
        <v>94</v>
      </c>
      <c r="I167" s="29">
        <v>7300</v>
      </c>
      <c r="J167" s="29" t="s">
        <v>41</v>
      </c>
    </row>
    <row r="168" spans="5:10" ht="21" customHeight="1" x14ac:dyDescent="0.3">
      <c r="E168" s="29" t="s">
        <v>537</v>
      </c>
      <c r="F168" s="49" t="s">
        <v>538</v>
      </c>
      <c r="G168" s="29" t="s">
        <v>280</v>
      </c>
      <c r="H168" s="49" t="s">
        <v>67</v>
      </c>
      <c r="I168" s="29">
        <v>2190</v>
      </c>
      <c r="J168" s="29" t="s">
        <v>36</v>
      </c>
    </row>
    <row r="169" spans="5:10" ht="21" customHeight="1" x14ac:dyDescent="0.3">
      <c r="E169" s="29" t="s">
        <v>539</v>
      </c>
      <c r="F169" s="49" t="s">
        <v>540</v>
      </c>
      <c r="G169" s="29" t="s">
        <v>49</v>
      </c>
      <c r="H169" s="49" t="s">
        <v>541</v>
      </c>
      <c r="I169" s="29">
        <v>1825</v>
      </c>
      <c r="J169" s="29" t="s">
        <v>36</v>
      </c>
    </row>
    <row r="170" spans="5:10" ht="21" customHeight="1" x14ac:dyDescent="0.3">
      <c r="E170" s="29" t="s">
        <v>542</v>
      </c>
      <c r="F170" s="49" t="s">
        <v>543</v>
      </c>
      <c r="G170" s="29" t="s">
        <v>148</v>
      </c>
      <c r="H170" s="49" t="s">
        <v>149</v>
      </c>
      <c r="I170" s="29">
        <v>365</v>
      </c>
      <c r="J170" s="29" t="s">
        <v>36</v>
      </c>
    </row>
    <row r="171" spans="5:10" ht="21" customHeight="1" x14ac:dyDescent="0.3">
      <c r="E171" s="29" t="s">
        <v>544</v>
      </c>
      <c r="F171" s="49" t="s">
        <v>545</v>
      </c>
      <c r="G171" s="29" t="s">
        <v>49</v>
      </c>
      <c r="H171" s="49" t="s">
        <v>40</v>
      </c>
      <c r="I171" s="29">
        <v>1825</v>
      </c>
      <c r="J171" s="29" t="s">
        <v>46</v>
      </c>
    </row>
    <row r="172" spans="5:10" ht="21" customHeight="1" x14ac:dyDescent="0.3">
      <c r="E172" s="48" t="s">
        <v>546</v>
      </c>
      <c r="F172" s="49" t="s">
        <v>547</v>
      </c>
      <c r="G172" s="29" t="s">
        <v>209</v>
      </c>
      <c r="H172" s="49" t="s">
        <v>40</v>
      </c>
      <c r="I172" s="29">
        <v>2555</v>
      </c>
      <c r="J172" s="29" t="s">
        <v>64</v>
      </c>
    </row>
    <row r="173" spans="5:10" ht="21" customHeight="1" x14ac:dyDescent="0.3">
      <c r="E173" s="48" t="s">
        <v>548</v>
      </c>
      <c r="F173" s="49" t="s">
        <v>549</v>
      </c>
      <c r="G173" s="29" t="s">
        <v>320</v>
      </c>
      <c r="H173" s="49" t="s">
        <v>40</v>
      </c>
      <c r="I173" s="29">
        <v>2555</v>
      </c>
      <c r="J173" s="29" t="s">
        <v>36</v>
      </c>
    </row>
    <row r="174" spans="5:10" ht="21" customHeight="1" x14ac:dyDescent="0.3">
      <c r="E174" s="48" t="s">
        <v>550</v>
      </c>
      <c r="F174" s="49" t="s">
        <v>551</v>
      </c>
      <c r="G174" s="29" t="s">
        <v>93</v>
      </c>
      <c r="H174" s="49" t="s">
        <v>552</v>
      </c>
      <c r="I174" s="29">
        <v>1825</v>
      </c>
      <c r="J174" s="29" t="s">
        <v>41</v>
      </c>
    </row>
    <row r="175" spans="5:10" ht="21" customHeight="1" x14ac:dyDescent="0.3">
      <c r="E175" s="48" t="s">
        <v>553</v>
      </c>
      <c r="F175" s="49" t="s">
        <v>554</v>
      </c>
      <c r="G175" s="29" t="s">
        <v>361</v>
      </c>
      <c r="H175" s="49" t="s">
        <v>67</v>
      </c>
      <c r="I175" s="29">
        <v>5475</v>
      </c>
      <c r="J175" s="29" t="s">
        <v>41</v>
      </c>
    </row>
    <row r="176" spans="5:10" ht="21" customHeight="1" x14ac:dyDescent="0.2">
      <c r="E176" s="27"/>
      <c r="F176" s="7"/>
      <c r="G176" s="16"/>
      <c r="H176" s="16"/>
      <c r="I176" s="39"/>
      <c r="J176" s="39"/>
    </row>
    <row r="177" spans="5:10" ht="21" customHeight="1" x14ac:dyDescent="0.2">
      <c r="E177" s="27"/>
      <c r="F177" s="7"/>
      <c r="G177" s="16"/>
      <c r="H177" s="16"/>
      <c r="I177" s="39"/>
      <c r="J177" s="39"/>
    </row>
    <row r="178" spans="5:10" ht="21" customHeight="1" x14ac:dyDescent="0.2">
      <c r="E178" s="27"/>
      <c r="F178" s="7"/>
      <c r="G178" s="16"/>
      <c r="H178" s="16"/>
      <c r="I178" s="39"/>
      <c r="J178" s="39"/>
    </row>
    <row r="179" spans="5:10" ht="21" customHeight="1" x14ac:dyDescent="0.2">
      <c r="E179" s="27"/>
      <c r="F179" s="7"/>
      <c r="G179" s="16"/>
      <c r="H179" s="16"/>
      <c r="I179" s="39"/>
      <c r="J179" s="39"/>
    </row>
    <row r="180" spans="5:10" ht="21" customHeight="1" x14ac:dyDescent="0.2">
      <c r="E180" s="27"/>
      <c r="F180" s="7"/>
      <c r="G180" s="16"/>
      <c r="H180" s="16"/>
      <c r="I180" s="39"/>
      <c r="J180" s="39"/>
    </row>
    <row r="181" spans="5:10" ht="21" customHeight="1" x14ac:dyDescent="0.2">
      <c r="E181" s="27"/>
      <c r="F181" s="7"/>
      <c r="G181" s="16"/>
      <c r="H181" s="16"/>
      <c r="I181" s="39"/>
      <c r="J181" s="39"/>
    </row>
  </sheetData>
  <sheetProtection selectLockedCells="1"/>
  <hyperlinks>
    <hyperlink ref="O17" r:id="rId1" xr:uid="{E214F206-0B85-4E76-9861-69FD63F78E8C}"/>
    <hyperlink ref="O11" r:id="rId2" display="mailto:JGuevara@tipiel.com.co" xr:uid="{71C34D4A-A732-426B-AFAE-803E4D58828C}"/>
    <hyperlink ref="O21" r:id="rId3" display="mailto:Laila.Nurwahyunita@technipenergies.com;%20Julia.Hidayat@technipenergies.com;%20Danang.Damandjaja@technipenergies.com" xr:uid="{32666082-E928-4F7C-8F39-069CB5BF4A9D}"/>
    <hyperlink ref="O35" r:id="rId4" display="mailto:amanda.mcsweeney@technipenergies.com" xr:uid="{B3FEDFEF-7376-4320-97DE-51E354F72D2B}"/>
    <hyperlink ref="O37" r:id="rId5" display="mailto:massimo.gallitto@technipenergies.com" xr:uid="{61B6BB04-1716-4F1F-9F1C-CA4F4D0AAE4C}"/>
    <hyperlink ref="O45" r:id="rId6" display="mailto:jasper.dijkstra@technipenergies.com" xr:uid="{2B5ED5F5-42AD-4005-8F82-C4AC88AB418F}"/>
    <hyperlink ref="O4" r:id="rId7" xr:uid="{EC898B7C-21C8-4D47-915B-945D6147B729}"/>
    <hyperlink ref="O43" r:id="rId8" xr:uid="{F0E3BD0E-703C-4ACA-804B-F3D5D0DF6D15}"/>
  </hyperlinks>
  <pageMargins left="0.7" right="0.7" top="0.75" bottom="0.75" header="0.3" footer="0.3"/>
  <pageSetup orientation="portrait" r:id="rId9"/>
  <headerFooter>
    <oddHeader>&amp;L&amp;"Arial,Regular"&amp;G&amp;C&amp;",Regular"&amp;0&amp;K000000
Records Destruction Form GTF-XXX-COR-15000-02</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k0cf214e6035498e83fac72b3455da03 xmlns="de266603-146d-46f8-8a58-62e1591e92b6">
      <Terms xmlns="http://schemas.microsoft.com/office/infopath/2007/PartnerControls">
        <TermInfo xmlns="http://schemas.microsoft.com/office/infopath/2007/PartnerControls">
          <TermName xmlns="http://schemas.microsoft.com/office/infopath/2007/PartnerControls">Records and Information Management</TermName>
          <TermId xmlns="http://schemas.microsoft.com/office/infopath/2007/PartnerControls">a9a5c88e-97c3-469c-8ed7-e590bf9339d7</TermId>
        </TermInfo>
      </Terms>
    </k0cf214e6035498e83fac72b3455da03>
    <TaxCatchAll xmlns="de266603-146d-46f8-8a58-62e1591e92b6">
      <Value>300</Value>
    </TaxCatchAll>
    <UnilyIsFeaturedDocument xmlns="de266603-146d-46f8-8a58-62e1591e92b6">false</UnilyIsFeaturedDocument>
    <PublishingExpirationDate xmlns="http://schemas.microsoft.com/sharepoint/v3" xsi:nil="true"/>
    <PublishingStartDate xmlns="http://schemas.microsoft.com/sharepoint/v3" xsi:nil="true"/>
    <UnilyIsTemplate xmlns="de266603-146d-46f8-8a58-62e1591e92b6">true</UnilyIsTemplat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C422E346C234E4A94A84C002954D93B" ma:contentTypeVersion="7" ma:contentTypeDescription="Create a new document." ma:contentTypeScope="" ma:versionID="6553a30db2f00464e17513b61234d966">
  <xsd:schema xmlns:xsd="http://www.w3.org/2001/XMLSchema" xmlns:xs="http://www.w3.org/2001/XMLSchema" xmlns:p="http://schemas.microsoft.com/office/2006/metadata/properties" xmlns:ns1="http://schemas.microsoft.com/sharepoint/v3" xmlns:ns2="de266603-146d-46f8-8a58-62e1591e92b6" xmlns:ns3="942f8f25-0d1d-4727-ae99-73b673e5b06b" targetNamespace="http://schemas.microsoft.com/office/2006/metadata/properties" ma:root="true" ma:fieldsID="93f6d3d58db47defa14f4e8cbad9e6b8" ns1:_="" ns2:_="" ns3:_="">
    <xsd:import namespace="http://schemas.microsoft.com/sharepoint/v3"/>
    <xsd:import namespace="de266603-146d-46f8-8a58-62e1591e92b6"/>
    <xsd:import namespace="942f8f25-0d1d-4727-ae99-73b673e5b06b"/>
    <xsd:element name="properties">
      <xsd:complexType>
        <xsd:sequence>
          <xsd:element name="documentManagement">
            <xsd:complexType>
              <xsd:all>
                <xsd:element ref="ns2:UnilyIsFeaturedDocument" minOccurs="0"/>
                <xsd:element ref="ns2:UnilyIsTemplate" minOccurs="0"/>
                <xsd:element ref="ns2:k0cf214e6035498e83fac72b3455da03" minOccurs="0"/>
                <xsd:element ref="ns2:TaxCatchAll" minOccurs="0"/>
                <xsd:element ref="ns2:TaxCatchAllLabel" minOccurs="0"/>
                <xsd:element ref="ns1:PublishingStartDate" minOccurs="0"/>
                <xsd:element ref="ns1:PublishingExpirationDate" minOccurs="0"/>
                <xsd:element ref="ns3:MediaServiceMetadata" minOccurs="0"/>
                <xsd:element ref="ns3:MediaServiceFastMetadata" minOccurs="0"/>
                <xsd:element ref="ns3:MediaServiceDateTaken" minOccurs="0"/>
                <xsd:element ref="ns3:MediaLengthInSecond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4"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15"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e266603-146d-46f8-8a58-62e1591e92b6" elementFormDefault="qualified">
    <xsd:import namespace="http://schemas.microsoft.com/office/2006/documentManagement/types"/>
    <xsd:import namespace="http://schemas.microsoft.com/office/infopath/2007/PartnerControls"/>
    <xsd:element name="UnilyIsFeaturedDocument" ma:index="8" nillable="true" ma:displayName="Is Featured Document" ma:internalName="UnilyIsFeaturedDocument">
      <xsd:simpleType>
        <xsd:restriction base="dms:Boolean"/>
      </xsd:simpleType>
    </xsd:element>
    <xsd:element name="UnilyIsTemplate" ma:index="9" nillable="true" ma:displayName="Is Template" ma:internalName="UnilyIsTemplate">
      <xsd:simpleType>
        <xsd:restriction base="dms:Boolean"/>
      </xsd:simpleType>
    </xsd:element>
    <xsd:element name="k0cf214e6035498e83fac72b3455da03" ma:index="10" ma:taxonomy="true" ma:internalName="k0cf214e6035498e83fac72b3455da03" ma:taxonomyFieldName="UnilyDocumentCategory" ma:displayName="Document Category" ma:readOnly="false" ma:default="" ma:fieldId="{40cf214e-6035-498e-83fa-c72b3455da03}" ma:taxonomyMulti="true" ma:sspId="dba705f5-bda6-441a-9f50-af094dc5e3cf" ma:termSetId="5724f53e-3641-4d1e-bd15-5e6cdad9eb1d" ma:anchorId="00000000-0000-0000-0000-000000000000" ma:open="false" ma:isKeyword="false">
      <xsd:complexType>
        <xsd:sequence>
          <xsd:element ref="pc:Terms" minOccurs="0" maxOccurs="1"/>
        </xsd:sequence>
      </xsd:complexType>
    </xsd:element>
    <xsd:element name="TaxCatchAll" ma:index="11" nillable="true" ma:displayName="Taxonomy Catch All Column" ma:description="" ma:hidden="true" ma:list="{f0662d21-cd7b-4e20-9408-8c804d4323e0}" ma:internalName="TaxCatchAll" ma:showField="CatchAllData" ma:web="de266603-146d-46f8-8a58-62e1591e92b6">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description="" ma:hidden="true" ma:list="{f0662d21-cd7b-4e20-9408-8c804d4323e0}" ma:internalName="TaxCatchAllLabel" ma:readOnly="true" ma:showField="CatchAllDataLabel" ma:web="de266603-146d-46f8-8a58-62e1591e92b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42f8f25-0d1d-4727-ae99-73b673e5b06b"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6086A6-9DCA-4C44-AE43-C252A08859CD}">
  <ds:schemaRefs>
    <ds:schemaRef ds:uri="http://schemas.microsoft.com/office/2006/metadata/properties"/>
    <ds:schemaRef ds:uri="http://schemas.microsoft.com/office/infopath/2007/PartnerControls"/>
    <ds:schemaRef ds:uri="de266603-146d-46f8-8a58-62e1591e92b6"/>
    <ds:schemaRef ds:uri="http://schemas.microsoft.com/sharepoint/v3"/>
  </ds:schemaRefs>
</ds:datastoreItem>
</file>

<file path=customXml/itemProps2.xml><?xml version="1.0" encoding="utf-8"?>
<ds:datastoreItem xmlns:ds="http://schemas.openxmlformats.org/officeDocument/2006/customXml" ds:itemID="{0E073D17-496A-4828-B0C9-B603D304EFE0}">
  <ds:schemaRefs>
    <ds:schemaRef ds:uri="http://schemas.microsoft.com/sharepoint/v3/contenttype/forms"/>
  </ds:schemaRefs>
</ds:datastoreItem>
</file>

<file path=customXml/itemProps3.xml><?xml version="1.0" encoding="utf-8"?>
<ds:datastoreItem xmlns:ds="http://schemas.openxmlformats.org/officeDocument/2006/customXml" ds:itemID="{5318513E-DD6A-47EF-85B6-AD59C1BE5B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e266603-146d-46f8-8a58-62e1591e92b6"/>
    <ds:schemaRef ds:uri="942f8f25-0d1d-4727-ae99-73b673e5b0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Modulo</vt:lpstr>
      <vt:lpstr>Riferimento</vt:lpstr>
    </vt:vector>
  </TitlesOfParts>
  <Manager/>
  <Company>Technip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ARCHIVAL RECORDS STORAGE FORM</dc:title>
  <dc:subject/>
  <dc:creator>Leigh-Ann Fikac</dc:creator>
  <cp:keywords/>
  <dc:description/>
  <cp:lastModifiedBy>Andrea Beciani</cp:lastModifiedBy>
  <cp:revision/>
  <dcterms:created xsi:type="dcterms:W3CDTF">2014-02-07T13:16:33Z</dcterms:created>
  <dcterms:modified xsi:type="dcterms:W3CDTF">2024-06-04T10:04:22Z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0x0101005C422E346C234E4A94A84C002954D93B</vt:lpwstr>
  </property>
  <property fmtid="{D5CDD505-2E9C-101B-9397-08002B2CF9AE}" pid="3" name="_dlc_DocIdItemGuid">
    <vt:lpwstr>b310c1b8-085f-4a5d-bff8-5146c50bed45</vt:lpwstr>
  </property>
  <property fmtid="{D5CDD505-2E9C-101B-9397-08002B2CF9AE}" pid="4" name="MSIP_Label_3b48b937-0ae3-46f5-b32e-f3232b5be847_Enabled">
    <vt:lpwstr>True</vt:lpwstr>
  </property>
  <property fmtid="{D5CDD505-2E9C-101B-9397-08002B2CF9AE}" pid="5" name="MSIP_Label_3b48b937-0ae3-46f5-b32e-f3232b5be847_SiteId">
    <vt:lpwstr>9179d01a-e94c-4488-b5f0-4554bc474f8c</vt:lpwstr>
  </property>
  <property fmtid="{D5CDD505-2E9C-101B-9397-08002B2CF9AE}" pid="6" name="MSIP_Label_3b48b937-0ae3-46f5-b32e-f3232b5be847_Owner">
    <vt:lpwstr>bridget.suchma@technipfmc.com</vt:lpwstr>
  </property>
  <property fmtid="{D5CDD505-2E9C-101B-9397-08002B2CF9AE}" pid="7" name="MSIP_Label_3b48b937-0ae3-46f5-b32e-f3232b5be847_SetDate">
    <vt:lpwstr>2020-03-31T16:30:52.4628754Z</vt:lpwstr>
  </property>
  <property fmtid="{D5CDD505-2E9C-101B-9397-08002B2CF9AE}" pid="8" name="MSIP_Label_3b48b937-0ae3-46f5-b32e-f3232b5be847_Name">
    <vt:lpwstr>General</vt:lpwstr>
  </property>
  <property fmtid="{D5CDD505-2E9C-101B-9397-08002B2CF9AE}" pid="9" name="MSIP_Label_3b48b937-0ae3-46f5-b32e-f3232b5be847_Application">
    <vt:lpwstr>Microsoft Azure Information Protection</vt:lpwstr>
  </property>
  <property fmtid="{D5CDD505-2E9C-101B-9397-08002B2CF9AE}" pid="10" name="MSIP_Label_3b48b937-0ae3-46f5-b32e-f3232b5be847_ActionId">
    <vt:lpwstr>e8b511fb-fd35-4666-9612-83764d4a3312</vt:lpwstr>
  </property>
  <property fmtid="{D5CDD505-2E9C-101B-9397-08002B2CF9AE}" pid="11" name="MSIP_Label_3b48b937-0ae3-46f5-b32e-f3232b5be847_Extended_MSFT_Method">
    <vt:lpwstr>Automatic</vt:lpwstr>
  </property>
  <property fmtid="{D5CDD505-2E9C-101B-9397-08002B2CF9AE}" pid="12" name="Sensitivity">
    <vt:lpwstr>General</vt:lpwstr>
  </property>
  <property fmtid="{D5CDD505-2E9C-101B-9397-08002B2CF9AE}" pid="13" name="UnilyDocumentCategory">
    <vt:lpwstr>300;#Records and Information Management|a9a5c88e-97c3-469c-8ed7-e590bf9339d7</vt:lpwstr>
  </property>
  <property fmtid="{D5CDD505-2E9C-101B-9397-08002B2CF9AE}" pid="14" name="Order">
    <vt:r8>165300</vt:r8>
  </property>
</Properties>
</file>